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学校マスタ" sheetId="3" state="visible" r:id="rId3"/>
    <sheet name="価格" sheetId="4" state="visible" r:id="rId4"/>
    <sheet name="ガント" sheetId="5" state="visible" r:id="rId5"/>
    <sheet name="手数料集計" sheetId="6" state="visible" r:id="rId6"/>
  </sheets>
  <definedNames>
    <definedName name="_xlnm._FilterDatabase" localSheetId="2" hidden="1">'学校マスタ'!$A$1:$AC$71</definedName>
    <definedName name="_xlnm._FilterDatabase" localSheetId="3" hidden="1">'価格'!$A$1:$P$251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¥#,##0;-¥#,##0;&quot;-&quot;"/>
    <numFmt numFmtId="166" formatCode="#,##0;-#,##0;&quot;-&quot;"/>
    <numFmt numFmtId="167" formatCode="+0.0%;-0.0%;&quot;-&quot;"/>
    <numFmt numFmtId="168" formatCode="0.0%;-0.0%;&quot;-&quot;"/>
    <numFmt numFmtId="169" formatCode="yyyy-mm-dd"/>
    <numFmt numFmtId="170" formatCode="m/d"/>
    <numFmt numFmtId="171" formatCode="¥#,##0"/>
    <numFmt numFmtId="172" formatCode="0;;&quot;-&quot;"/>
  </numFmts>
  <fonts count="16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color rgb="006B7280"/>
      <sz val="10"/>
    </font>
    <font>
      <name val="Meiryo"/>
      <b val="1"/>
      <color rgb="001F3864"/>
      <sz val="11"/>
    </font>
    <font>
      <name val="Meiryo"/>
      <b val="1"/>
      <color rgb="001F2430"/>
      <sz val="10"/>
    </font>
    <font>
      <name val="Meiryo"/>
      <color rgb="000000FF"/>
      <sz val="10"/>
    </font>
    <font>
      <name val="Meiryo"/>
      <b val="1"/>
      <color rgb="00FFFFFF"/>
      <sz val="10"/>
    </font>
    <font>
      <name val="Meiryo"/>
      <color rgb="006B7280"/>
      <sz val="9"/>
    </font>
    <font>
      <name val="Meiryo"/>
      <color rgb="00000000"/>
      <sz val="10"/>
    </font>
    <font>
      <name val="Meiryo"/>
      <color rgb="00006400"/>
      <sz val="10"/>
    </font>
    <font>
      <name val="Meiryo"/>
      <b val="1"/>
      <color rgb="001F3864"/>
      <sz val="13"/>
    </font>
    <font>
      <name val="Meiryo"/>
      <b val="1"/>
      <color rgb="000000FF"/>
      <sz val="10"/>
    </font>
    <font>
      <name val="Meiryo"/>
      <color rgb="00000000"/>
      <sz val="9"/>
    </font>
    <font>
      <name val="Meiryo"/>
      <color rgb="001F2430"/>
      <sz val="10"/>
    </font>
    <font>
      <name val="Meiryo"/>
      <b val="1"/>
      <color rgb="00006400"/>
      <sz val="11"/>
    </font>
    <font>
      <name val="Meiryo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D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0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165" fontId="5" fillId="0" borderId="1" pivotButton="0" quotePrefix="0" xfId="0"/>
    <xf numFmtId="166" fontId="5" fillId="0" borderId="1" pivotButton="0" quotePrefix="0" xfId="0"/>
    <xf numFmtId="165" fontId="8" fillId="0" borderId="1" pivotButton="0" quotePrefix="0" xfId="0"/>
    <xf numFmtId="167" fontId="8" fillId="0" borderId="1" pivotButton="0" quotePrefix="0" xfId="0"/>
    <xf numFmtId="0" fontId="9" fillId="0" borderId="1" pivotButton="0" quotePrefix="0" xfId="0"/>
    <xf numFmtId="168" fontId="8" fillId="0" borderId="1" pivotButton="0" quotePrefix="0" xfId="0"/>
    <xf numFmtId="0" fontId="10" fillId="0" borderId="0" pivotButton="0" quotePrefix="0" xfId="0"/>
    <xf numFmtId="0" fontId="4" fillId="0" borderId="0" pivotButton="0" quotePrefix="0" xfId="0"/>
    <xf numFmtId="164" fontId="11" fillId="3" borderId="1" pivotButton="0" quotePrefix="0" xfId="0"/>
    <xf numFmtId="170" fontId="6" fillId="2" borderId="1" applyAlignment="1" pivotButton="0" quotePrefix="0" xfId="0">
      <alignment horizontal="center" vertical="center" wrapText="1"/>
    </xf>
    <xf numFmtId="170" fontId="9" fillId="0" borderId="1" pivotButton="0" quotePrefix="0" xfId="0"/>
    <xf numFmtId="0" fontId="12" fillId="0" borderId="0" applyAlignment="1" pivotButton="0" quotePrefix="0" xfId="0">
      <alignment horizontal="center"/>
    </xf>
    <xf numFmtId="0" fontId="13" fillId="0" borderId="1" pivotButton="0" quotePrefix="0" xfId="0"/>
    <xf numFmtId="1" fontId="14" fillId="0" borderId="1" applyAlignment="1" pivotButton="0" quotePrefix="0" xfId="0">
      <alignment horizontal="right"/>
    </xf>
    <xf numFmtId="171" fontId="14" fillId="0" borderId="1" applyAlignment="1" pivotButton="0" quotePrefix="0" xfId="0">
      <alignment horizontal="right"/>
    </xf>
    <xf numFmtId="172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4" borderId="1" pivotButton="0" quotePrefix="0" xfId="0"/>
    <xf numFmtId="172" fontId="15" fillId="4" borderId="1" applyAlignment="1" pivotButton="0" quotePrefix="0" xfId="0">
      <alignment horizontal="right"/>
    </xf>
    <xf numFmtId="165" fontId="15" fillId="4" borderId="1" applyAlignment="1" pivotButton="0" quotePrefix="0" xfId="0">
      <alignment horizontal="right"/>
    </xf>
  </cellXfs>
  <cellStyles count="1">
    <cellStyle name="Normal" xfId="0" builtinId="0" hidden="0"/>
  </cellStyles>
  <dxfs count="15">
    <dxf>
      <font>
        <name val="Meiryo"/>
        <b val="1"/>
        <color rgb="009B2C1E"/>
        <sz val="10"/>
      </font>
      <fill>
        <patternFill patternType="solid">
          <fgColor rgb="00F8D7D5"/>
        </patternFill>
      </fill>
    </dxf>
    <dxf>
      <font>
        <name val="Meiryo"/>
        <b val="1"/>
        <color rgb="008A5A12"/>
        <sz val="10"/>
      </font>
      <fill>
        <patternFill patternType="solid">
          <fgColor rgb="00FBEED2"/>
        </patternFill>
      </fill>
    </dxf>
    <dxf>
      <font>
        <name val="Meiryo"/>
        <color rgb="0014664D"/>
        <sz val="10"/>
      </font>
      <fill>
        <patternFill patternType="solid">
          <fgColor rgb="00DCEFE7"/>
        </patternFill>
      </fill>
    </dxf>
    <dxf>
      <font>
        <name val="Meiryo"/>
        <b val="1"/>
        <color rgb="0014664D"/>
        <sz val="10"/>
      </font>
      <fill>
        <patternFill patternType="solid">
          <fgColor rgb="00DCEFE7"/>
        </patternFill>
      </fill>
    </dxf>
    <dxf>
      <fill>
        <patternFill patternType="solid">
          <fgColor rgb="00FBEED2"/>
        </patternFill>
      </fill>
    </dxf>
    <dxf>
      <font>
        <name val="Meiryo"/>
        <b val="1"/>
        <color rgb="009B2C1E"/>
        <sz val="10"/>
      </font>
    </dxf>
    <dxf>
      <font>
        <name val="Meiryo"/>
        <color rgb="000F5E58"/>
        <sz val="10"/>
      </font>
      <fill>
        <patternFill patternType="solid">
          <fgColor rgb="00DCEFED"/>
        </patternFill>
      </fill>
    </dxf>
    <dxf>
      <font>
        <name val="Meiryo"/>
        <color rgb="002F4B8F"/>
        <sz val="10"/>
      </font>
      <fill>
        <patternFill patternType="solid">
          <fgColor rgb="00E3E9F7"/>
        </patternFill>
      </fill>
    </dxf>
    <dxf>
      <fill>
        <patternFill patternType="solid">
          <fgColor rgb="00FFF7D6"/>
        </patternFill>
      </fill>
    </dxf>
    <dxf>
      <font>
        <name val="Meiryo"/>
        <b val="1"/>
        <color rgb="002F4B8F"/>
        <sz val="9"/>
      </font>
      <fill>
        <patternFill patternType="solid">
          <fgColor rgb="00DCE3F5"/>
        </patternFill>
      </fill>
    </dxf>
    <dxf>
      <font>
        <name val="Meiryo"/>
        <b val="1"/>
        <color rgb="000F5E58"/>
        <sz val="9"/>
      </font>
      <fill>
        <patternFill patternType="solid">
          <fgColor rgb="00D6EDEA"/>
        </patternFill>
      </fill>
    </dxf>
    <dxf>
      <font>
        <name val="Meiryo"/>
        <b val="1"/>
        <color rgb="008A5A12"/>
        <sz val="9"/>
      </font>
      <fill>
        <patternFill patternType="solid">
          <fgColor rgb="00FBEED2"/>
        </patternFill>
      </fill>
    </dxf>
    <dxf>
      <font>
        <name val="Meiryo"/>
        <b val="1"/>
        <color rgb="009B2C1E"/>
        <sz val="9"/>
      </font>
      <fill>
        <patternFill patternType="solid">
          <fgColor rgb="00F8D7D5"/>
        </patternFill>
      </fill>
    </dxf>
    <dxf>
      <fill>
        <patternFill patternType="solid">
          <fgColor rgb="00F6E4E1"/>
        </patternFill>
      </fill>
    </dxf>
    <dxf>
      <font>
        <name val="Meiryo"/>
        <b val="1"/>
        <color rgb="00FFFFFF"/>
        <sz val="10"/>
      </font>
      <fill>
        <patternFill patternType="solid">
          <fgColor rgb="00B33A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台帳</author>
  </authors>
  <commentList>
    <comment ref="A1" authorId="0" shapeId="0">
      <text>
        <t>学校名がキーです。価格シート・ガントシートはこの名前で紐づいています。重複しない名前を入れてください。</t>
      </text>
    </comment>
  </commentList>
</comments>
</file>

<file path=xl/comments/comment2.xml><?xml version="1.0" encoding="utf-8"?>
<comments xmlns="http://schemas.openxmlformats.org/spreadsheetml/2006/main">
  <authors>
    <author>台帳</author>
  </authors>
  <commentList>
    <comment ref="L1" authorId="0" shapeId="0">
      <text>
        <t>手数料 単価 ＝ 今年 掲載（エンド税別） − 今年 卸（税別）。学校マスタで手数料バックを「なし」にした学校は 0 になります。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1" ht="26" customHeight="1">
      <c r="B1" s="1" t="inlineStr">
        <is>
          <t>チラシ進行台帳（Excel版）</t>
        </is>
      </c>
    </row>
    <row r="2" ht="46" customHeight="1">
      <c r="C2" s="2" t="inlineStr">
        <is>
          <t>学校ごとの工程管理と、価格・手数料バックの管理を1つのブックで行います。シート間は数式でつながっているので、「学校マスタ」に学校を足し、「価格」に商品を足すだけで、ガントも手数料集計も自動で追従します。</t>
        </is>
      </c>
    </row>
    <row r="4">
      <c r="B4" s="3" t="inlineStr">
        <is>
          <t>シートの役割</t>
        </is>
      </c>
    </row>
    <row r="5" ht="30" customHeight="1">
      <c r="B5" s="4" t="inlineStr">
        <is>
          <t>学校マスタ</t>
        </is>
      </c>
      <c r="C5" s="2" t="inlineStr">
        <is>
          <t>学校ごとに1行。工程のチェックと期日、協力企業、手数料バックの有無。ここが台帳の本体です。</t>
        </is>
      </c>
    </row>
    <row r="6" ht="30" customHeight="1">
      <c r="B6" s="4" t="inlineStr">
        <is>
          <t>価格</t>
        </is>
      </c>
      <c r="C6" s="2" t="inlineStr">
        <is>
          <t>学校×商品ごとに1行。PC機種もオプション品もここに登録します。手数料バックはこのシートで自動計算されます。</t>
        </is>
      </c>
    </row>
    <row r="7" ht="30" customHeight="1">
      <c r="B7" s="4" t="inlineStr">
        <is>
          <t>ガント</t>
        </is>
      </c>
      <c r="C7" s="2" t="inlineStr">
        <is>
          <t>学校マスタの日付から自動で帯を描きます。入力する場所はありません（開始日だけ変更できます）。</t>
        </is>
      </c>
    </row>
    <row r="8" ht="30" customHeight="1">
      <c r="B8" s="4" t="inlineStr">
        <is>
          <t>手数料集計</t>
        </is>
      </c>
      <c r="C8" s="2" t="inlineStr">
        <is>
          <t>協力企業ごとに、戻す手数料の見込みを集計します。全体のサマリーもここにあります。</t>
        </is>
      </c>
    </row>
    <row r="9" ht="30" customHeight="1">
      <c r="B9" s="4" t="inlineStr">
        <is>
          <t>設定</t>
        </is>
      </c>
      <c r="C9" s="2" t="inlineStr">
        <is>
          <t>担当・地区・協力企業・納品方法の選択肢。ここに足すと各シートのプルダウンに出ます。</t>
        </is>
      </c>
    </row>
    <row r="11">
      <c r="B11" s="3" t="inlineStr">
        <is>
          <t>入力する場所（セルの色）</t>
        </is>
      </c>
    </row>
    <row r="12" ht="30" customHeight="1">
      <c r="B12" s="4" t="inlineStr">
        <is>
          <t>青い文字</t>
        </is>
      </c>
      <c r="C12" s="2" t="inlineStr">
        <is>
          <t>手で入力する欄です。ここだけ触ってください。</t>
        </is>
      </c>
    </row>
    <row r="13" ht="30" customHeight="1">
      <c r="B13" s="4" t="inlineStr">
        <is>
          <t>黒い文字</t>
        </is>
      </c>
      <c r="C13" s="2" t="inlineStr">
        <is>
          <t>同じシート内の計算結果。上書きすると壊れます。</t>
        </is>
      </c>
    </row>
    <row r="14" ht="30" customHeight="1">
      <c r="B14" s="4" t="inlineStr">
        <is>
          <t>緑の文字</t>
        </is>
      </c>
      <c r="C14" s="2" t="inlineStr">
        <is>
          <t>他のシートを参照している計算結果。上書きすると壊れます。</t>
        </is>
      </c>
    </row>
    <row r="15" ht="30" customHeight="1">
      <c r="B15" s="4" t="inlineStr">
        <is>
          <t>黄色の背景</t>
        </is>
      </c>
      <c r="C15" s="2" t="inlineStr">
        <is>
          <t>最初に決めておく設定値（ガントの開始日など）。</t>
        </is>
      </c>
    </row>
    <row r="17">
      <c r="B17" s="3" t="inlineStr">
        <is>
          <t>使い方の順番</t>
        </is>
      </c>
    </row>
    <row r="18" ht="30" customHeight="1">
      <c r="B18" s="4" t="inlineStr">
        <is>
          <t>1. 設定</t>
        </is>
      </c>
      <c r="C18" s="2" t="inlineStr">
        <is>
          <t>担当者名・地区・協力企業・納品方法を先に登録します。</t>
        </is>
      </c>
    </row>
    <row r="19" ht="30" customHeight="1">
      <c r="B19" s="4" t="inlineStr">
        <is>
          <t>2. 学校マスタ</t>
        </is>
      </c>
      <c r="C19" s="2" t="inlineStr">
        <is>
          <t>学校名から順に入力。日付を入れると状態とガントが自動で動きます。工程の「済」列はプルダウンで ✓ を選びます。</t>
        </is>
      </c>
    </row>
    <row r="20" ht="30" customHeight="1">
      <c r="B20" s="4" t="inlineStr">
        <is>
          <t>3. 価格</t>
        </is>
      </c>
      <c r="C20" s="2" t="inlineStr">
        <is>
          <t>学校名をプルダウンで選び、種別（PC／オプション）と品名、今年の掲載・卸・見込数量を入れます。</t>
        </is>
      </c>
    </row>
    <row r="21" ht="30" customHeight="1">
      <c r="B21" s="4" t="inlineStr">
        <is>
          <t>4. 手数料集計</t>
        </is>
      </c>
      <c r="C21" s="2" t="inlineStr">
        <is>
          <t>自動で集計されます。数字が合わないときは、価格シートの学校名が学校マスタと一致しているか確認してください。</t>
        </is>
      </c>
    </row>
    <row r="23">
      <c r="B23" s="3" t="inlineStr">
        <is>
          <t>手数料バックの計算</t>
        </is>
      </c>
    </row>
    <row r="24" ht="46" customHeight="1">
      <c r="C24" s="2" t="inlineStr">
        <is>
          <t>手数料バック単価 ＝ 今年 掲載（エンド税別） − 今年 卸（税別）。学校マスタの「手数料バック」を「なし」にすると、その学校の手数料は 0 になり、集計にも入りません。見込合計 ＝ 単価 × 見込 数量 です。</t>
        </is>
      </c>
    </row>
    <row r="26">
      <c r="B26" s="3" t="inlineStr">
        <is>
          <t>注意</t>
        </is>
      </c>
    </row>
    <row r="27" ht="30" customHeight="1">
      <c r="B27" s="4" t="inlineStr">
        <is>
          <t>学校名がキー</t>
        </is>
      </c>
      <c r="C27" s="2" t="inlineStr">
        <is>
          <t>価格シートは学校名で学校マスタと結び付いています。学校名を変えるときは両方のシートを直してください（重複した学校名は使えません）。</t>
        </is>
      </c>
    </row>
    <row r="28" ht="30" customHeight="1">
      <c r="B28" s="4" t="inlineStr">
        <is>
          <t>行の追加</t>
        </is>
      </c>
      <c r="C28" s="2" t="inlineStr">
        <is>
          <t>数式は70校・250商品ぶん入れてあります。それ以上増やすときは、最終行をコピーして下に貼り付けてください。</t>
        </is>
      </c>
    </row>
    <row r="29" ht="30" customHeight="1">
      <c r="B29" s="4" t="inlineStr">
        <is>
          <t>サンプル行</t>
        </is>
      </c>
      <c r="C29" s="2" t="inlineStr">
        <is>
          <t>1校ぶんのサンプルが入っています。実データを入れる前に削除してください（数式の列は消さずに、青文字の欄だけ消します）。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5" t="inlineStr">
        <is>
          <t>担当</t>
        </is>
      </c>
      <c r="B1" s="5" t="inlineStr">
        <is>
          <t>地区</t>
        </is>
      </c>
      <c r="C1" s="5" t="inlineStr">
        <is>
          <t>協力企業</t>
        </is>
      </c>
      <c r="D1" s="5" t="inlineStr">
        <is>
          <t>納品方法</t>
        </is>
      </c>
      <c r="E1" s="5" t="inlineStr">
        <is>
          <t>区分</t>
        </is>
      </c>
      <c r="F1" s="5" t="inlineStr">
        <is>
          <t>種別</t>
        </is>
      </c>
      <c r="G1" s="5" t="inlineStr">
        <is>
          <t>手数料バック</t>
        </is>
      </c>
    </row>
    <row r="2">
      <c r="A2" s="6" t="inlineStr">
        <is>
          <t>内野</t>
        </is>
      </c>
      <c r="B2" s="6" t="inlineStr">
        <is>
          <t>東京</t>
        </is>
      </c>
      <c r="C2" s="6" t="inlineStr">
        <is>
          <t>サクラ電機販売</t>
        </is>
      </c>
      <c r="D2" s="6" t="inlineStr">
        <is>
          <t>一括納品（学校搬入）</t>
        </is>
      </c>
      <c r="E2" s="6" t="inlineStr">
        <is>
          <t>継続</t>
        </is>
      </c>
      <c r="F2" s="6" t="inlineStr">
        <is>
          <t>PC</t>
        </is>
      </c>
      <c r="G2" s="6" t="inlineStr">
        <is>
          <t>あり</t>
        </is>
      </c>
    </row>
    <row r="3">
      <c r="A3" s="6" t="inlineStr">
        <is>
          <t>佐藤</t>
        </is>
      </c>
      <c r="B3" s="6" t="inlineStr">
        <is>
          <t>神奈川</t>
        </is>
      </c>
      <c r="C3" s="6" t="inlineStr">
        <is>
          <t>三洋メディアサービス</t>
        </is>
      </c>
      <c r="D3" s="6" t="inlineStr">
        <is>
          <t>個別配送（自宅）</t>
        </is>
      </c>
      <c r="E3" s="6" t="inlineStr">
        <is>
          <t>新規開拓</t>
        </is>
      </c>
      <c r="F3" s="6" t="inlineStr">
        <is>
          <t>オプション</t>
        </is>
      </c>
      <c r="G3" s="6" t="inlineStr">
        <is>
          <t>なし</t>
        </is>
      </c>
    </row>
    <row r="4">
      <c r="A4" s="6" t="inlineStr">
        <is>
          <t>高橋</t>
        </is>
      </c>
      <c r="B4" s="6" t="inlineStr">
        <is>
          <t>千葉</t>
        </is>
      </c>
      <c r="C4" s="6" t="inlineStr">
        <is>
          <t>日商テクノ商会</t>
        </is>
      </c>
      <c r="D4" s="6" t="inlineStr">
        <is>
          <t>説明会当日手渡し</t>
        </is>
      </c>
    </row>
    <row r="5">
      <c r="A5" s="6" t="inlineStr">
        <is>
          <t>森田</t>
        </is>
      </c>
      <c r="B5" s="6" t="inlineStr">
        <is>
          <t>埼玉</t>
        </is>
      </c>
      <c r="C5" s="6" t="inlineStr">
        <is>
          <t>アイエス情報機器</t>
        </is>
      </c>
      <c r="D5" s="6" t="inlineStr">
        <is>
          <t>業者直送（分割）</t>
        </is>
      </c>
    </row>
    <row r="6">
      <c r="A6" s="6" t="inlineStr">
        <is>
          <t>岡本</t>
        </is>
      </c>
      <c r="B6" s="6" t="inlineStr">
        <is>
          <t>大阪</t>
        </is>
      </c>
      <c r="C6" s="6" t="inlineStr">
        <is>
          <t>（協力企業なし）</t>
        </is>
      </c>
    </row>
    <row r="7">
      <c r="B7" s="6" t="inlineStr">
        <is>
          <t>愛知</t>
        </is>
      </c>
    </row>
    <row r="8">
      <c r="B8" s="6" t="inlineStr">
        <is>
          <t>福岡</t>
        </is>
      </c>
    </row>
    <row r="9">
      <c r="B9" s="6" t="inlineStr">
        <is>
          <t>北海道</t>
        </is>
      </c>
    </row>
    <row r="10">
      <c r="B10" s="6" t="inlineStr">
        <is>
          <t>宮城</t>
        </is>
      </c>
    </row>
    <row r="11">
      <c r="B11" s="6" t="inlineStr">
        <is>
          <t>広島</t>
        </is>
      </c>
    </row>
    <row r="12">
      <c r="B12" s="6" t="inlineStr">
        <is>
          <t>京都</t>
        </is>
      </c>
    </row>
    <row r="13">
      <c r="B13" s="6" t="inlineStr">
        <is>
          <t>兵庫</t>
        </is>
      </c>
    </row>
    <row r="20">
      <c r="A20" s="7" t="inlineStr">
        <is>
          <t>※ 各列に追記すると、他シートのプルダウンの選択肢が増えます（20行目まで対応）。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10" customWidth="1" min="4" max="4"/>
    <col width="8" customWidth="1" min="5" max="5"/>
    <col width="20" customWidth="1" min="6" max="6"/>
    <col width="12" customWidth="1" min="7" max="7"/>
    <col width="12" customWidth="1" min="8" max="8"/>
    <col width="5" customWidth="1" min="9" max="9"/>
    <col width="12" customWidth="1" min="10" max="10"/>
    <col width="5" customWidth="1" min="11" max="11"/>
    <col width="12" customWidth="1" min="12" max="12"/>
    <col width="5" customWidth="1" min="13" max="13"/>
    <col width="26" customWidth="1" min="14" max="14"/>
    <col width="13" customWidth="1" min="15" max="15"/>
    <col width="13" customWidth="1" min="16" max="16"/>
    <col width="5" customWidth="1" min="17" max="17"/>
    <col width="12" customWidth="1" min="18" max="18"/>
    <col width="5" customWidth="1" min="19" max="19"/>
    <col width="20" customWidth="1" min="20" max="20"/>
    <col width="12" customWidth="1" min="21" max="21"/>
    <col width="5" customWidth="1" min="22" max="22"/>
    <col width="8" customWidth="1" min="23" max="23"/>
    <col width="10" customWidth="1" min="24" max="24"/>
    <col width="10" customWidth="1" min="25" max="25"/>
    <col width="12" customWidth="1" min="26" max="26"/>
    <col width="10" customWidth="1" min="27" max="27"/>
    <col width="16" customWidth="1" min="28" max="28"/>
    <col width="30" customWidth="1" min="29" max="29"/>
  </cols>
  <sheetData>
    <row r="1" ht="30" customHeight="1">
      <c r="A1" s="5" t="inlineStr">
        <is>
          <t>学校名</t>
        </is>
      </c>
      <c r="B1" s="5" t="inlineStr">
        <is>
          <t>地区</t>
        </is>
      </c>
      <c r="C1" s="5" t="inlineStr">
        <is>
          <t>担当</t>
        </is>
      </c>
      <c r="D1" s="5" t="inlineStr">
        <is>
          <t>区分</t>
        </is>
      </c>
      <c r="E1" s="5" t="inlineStr">
        <is>
          <t>生徒数</t>
        </is>
      </c>
      <c r="F1" s="5" t="inlineStr">
        <is>
          <t>協力企業</t>
        </is>
      </c>
      <c r="G1" s="5" t="inlineStr">
        <is>
          <t>手数料バック</t>
        </is>
      </c>
      <c r="H1" s="5" t="inlineStr">
        <is>
          <t>機種提示日</t>
        </is>
      </c>
      <c r="I1" s="5" t="inlineStr">
        <is>
          <t>済</t>
        </is>
      </c>
      <c r="J1" s="5" t="inlineStr">
        <is>
          <t>意向回収期日</t>
        </is>
      </c>
      <c r="K1" s="5" t="inlineStr">
        <is>
          <t>済</t>
        </is>
      </c>
      <c r="L1" s="5" t="inlineStr">
        <is>
          <t>EC公開期日</t>
        </is>
      </c>
      <c r="M1" s="5" t="inlineStr">
        <is>
          <t>済</t>
        </is>
      </c>
      <c r="N1" s="5" t="inlineStr">
        <is>
          <t>ECサイトURL</t>
        </is>
      </c>
      <c r="O1" s="5" t="inlineStr">
        <is>
          <t>チラシ調整開始</t>
        </is>
      </c>
      <c r="P1" s="5" t="inlineStr">
        <is>
          <t>チラシ調整終了</t>
        </is>
      </c>
      <c r="Q1" s="5" t="inlineStr">
        <is>
          <t>済</t>
        </is>
      </c>
      <c r="R1" s="5" t="inlineStr">
        <is>
          <t>販売開始日</t>
        </is>
      </c>
      <c r="S1" s="5" t="inlineStr">
        <is>
          <t>済</t>
        </is>
      </c>
      <c r="T1" s="5" t="inlineStr">
        <is>
          <t>納品方法</t>
        </is>
      </c>
      <c r="U1" s="5" t="inlineStr">
        <is>
          <t>納品期日</t>
        </is>
      </c>
      <c r="V1" s="5" t="inlineStr">
        <is>
          <t>済</t>
        </is>
      </c>
      <c r="W1" s="5" t="inlineStr">
        <is>
          <t>進捗</t>
        </is>
      </c>
      <c r="X1" s="5" t="inlineStr">
        <is>
          <t>状態</t>
        </is>
      </c>
      <c r="Y1" s="5" t="inlineStr">
        <is>
          <t>掲載機種数</t>
        </is>
      </c>
      <c r="Z1" s="5" t="inlineStr">
        <is>
          <t>オプション点数</t>
        </is>
      </c>
      <c r="AA1" s="5" t="inlineStr">
        <is>
          <t>価格未入力</t>
        </is>
      </c>
      <c r="AB1" s="5" t="inlineStr">
        <is>
          <t>手数料バック見込</t>
        </is>
      </c>
      <c r="AC1" s="5" t="inlineStr">
        <is>
          <t>メモ</t>
        </is>
      </c>
    </row>
    <row r="2">
      <c r="A2" s="6" t="inlineStr">
        <is>
          <t>青葉学園高等学校</t>
        </is>
      </c>
      <c r="B2" s="6" t="inlineStr">
        <is>
          <t>東京</t>
        </is>
      </c>
      <c r="C2" s="6" t="inlineStr">
        <is>
          <t>内野</t>
        </is>
      </c>
      <c r="D2" s="6" t="inlineStr">
        <is>
          <t>継続</t>
        </is>
      </c>
      <c r="E2" s="8" t="n">
        <v>320</v>
      </c>
      <c r="F2" s="6" t="inlineStr">
        <is>
          <t>サクラ電機販売</t>
        </is>
      </c>
      <c r="G2" s="6" t="inlineStr">
        <is>
          <t>あり</t>
        </is>
      </c>
      <c r="H2" s="9" t="n">
        <v>46211</v>
      </c>
      <c r="I2" s="10" t="inlineStr">
        <is>
          <t>✓</t>
        </is>
      </c>
      <c r="J2" s="9" t="n">
        <v>46228</v>
      </c>
      <c r="K2" s="10" t="inlineStr">
        <is>
          <t>✓</t>
        </is>
      </c>
      <c r="L2" s="9" t="n">
        <v>46238</v>
      </c>
      <c r="M2" s="10" t="n"/>
      <c r="N2" s="6" t="n"/>
      <c r="O2" s="9" t="n">
        <v>46235</v>
      </c>
      <c r="P2" s="9" t="n">
        <v>46245</v>
      </c>
      <c r="Q2" s="10" t="n"/>
      <c r="R2" s="9" t="n">
        <v>46248</v>
      </c>
      <c r="S2" s="10" t="n"/>
      <c r="T2" s="6" t="inlineStr">
        <is>
          <t>業者直送（分割）</t>
        </is>
      </c>
      <c r="U2" s="9" t="n">
        <v>46266</v>
      </c>
      <c r="V2" s="10" t="inlineStr">
        <is>
          <t>✓</t>
        </is>
      </c>
      <c r="W2" s="11">
        <f>IF($A2="","",(COUNTIF(I2,"✓")+ COUNTIF(K2,"✓")+ COUNTIF(M2,"✓")+ COUNTIF(Q2,"✓")+ COUNTIF(S2,"✓")+ COUNTIF(V2,"✓"))/6)</f>
        <v/>
      </c>
      <c r="X2" s="12">
        <f>IF($A2="","",IF(W2=1,"完了",IF(OR(AND(I2&lt;&gt;"✓",H2&lt;&gt;"",H2&lt;TODAY()),AND(K2&lt;&gt;"✓",J2&lt;&gt;"",J2&lt;TODAY()),AND(M2&lt;&gt;"✓",L2&lt;&gt;"",L2&lt;TODAY()),AND(Q2&lt;&gt;"✓",P2&lt;&gt;"",P2&lt;TODAY()),AND(S2&lt;&gt;"✓",R2&lt;&gt;"",R2&lt;TODAY()),AND(V2&lt;&gt;"✓",U2&lt;&gt;"",U2&lt;TODAY())),"遅延",IF(OR(AND(I2&lt;&gt;"✓",H2&lt;&gt;"",H2&lt;=TODAY()+7),AND(K2&lt;&gt;"✓",J2&lt;&gt;"",J2&lt;=TODAY()+7),AND(M2&lt;&gt;"✓",L2&lt;&gt;"",L2&lt;=TODAY()+7),AND(Q2&lt;&gt;"✓",P2&lt;&gt;"",P2&lt;=TODAY()+7),AND(S2&lt;&gt;"✓",R2&lt;&gt;"",R2&lt;=TODAY()+7),AND(V2&lt;&gt;"✓",U2&lt;&gt;"",U2&lt;=TODAY()+7)),"今週対応","進行中"))))</f>
        <v/>
      </c>
      <c r="Y2" s="13">
        <f>IF($A2="","",COUNTIFS(価格!$A$2:$A$251,$A2,価格!$B$2:$B$251,"PC"))</f>
        <v/>
      </c>
      <c r="Z2" s="13">
        <f>IF($A2="","",COUNTIFS(価格!$A$2:$A$251,$A2,価格!$B$2:$B$251,"オプション"))</f>
        <v/>
      </c>
      <c r="AA2" s="13">
        <f>IF($A2="","",COUNTIFS(価格!$A$2:$A$251,$A2)-COUNTIFS(価格!$A$2:$A$251,$A2,価格!$H$2:$H$251,"&gt;0",価格!$J$2:$J$251,"&gt;0"))</f>
        <v/>
      </c>
      <c r="AB2" s="14">
        <f>IF($A2="","",SUMIFS(価格!$N$2:$N$251,価格!$A$2:$A$251,$A2))</f>
        <v/>
      </c>
      <c r="AC2" s="6" t="inlineStr">
        <is>
          <t>サンプル行です。実データを入れる前に削除してください。</t>
        </is>
      </c>
    </row>
    <row r="3">
      <c r="A3" s="6" t="n"/>
      <c r="B3" s="6" t="n"/>
      <c r="C3" s="6" t="n"/>
      <c r="D3" s="6" t="n"/>
      <c r="E3" s="8" t="n"/>
      <c r="F3" s="6" t="n"/>
      <c r="G3" s="6" t="n"/>
      <c r="H3" s="9" t="n"/>
      <c r="I3" s="10" t="n"/>
      <c r="J3" s="9" t="n"/>
      <c r="K3" s="10" t="n"/>
      <c r="L3" s="9" t="n"/>
      <c r="M3" s="10" t="n"/>
      <c r="N3" s="6" t="n"/>
      <c r="O3" s="9" t="n"/>
      <c r="P3" s="9" t="n"/>
      <c r="Q3" s="10" t="n"/>
      <c r="R3" s="9" t="n"/>
      <c r="S3" s="10" t="n"/>
      <c r="T3" s="6" t="n"/>
      <c r="U3" s="9" t="n"/>
      <c r="V3" s="10" t="n"/>
      <c r="W3" s="11">
        <f>IF($A3="","",(COUNTIF(I3,"✓")+ COUNTIF(K3,"✓")+ COUNTIF(M3,"✓")+ COUNTIF(Q3,"✓")+ COUNTIF(S3,"✓")+ COUNTIF(V3,"✓"))/6)</f>
        <v/>
      </c>
      <c r="X3" s="12">
        <f>IF($A3="","",IF(W3=1,"完了",IF(OR(AND(I3&lt;&gt;"✓",H3&lt;&gt;"",H3&lt;TODAY()),AND(K3&lt;&gt;"✓",J3&lt;&gt;"",J3&lt;TODAY()),AND(M3&lt;&gt;"✓",L3&lt;&gt;"",L3&lt;TODAY()),AND(Q3&lt;&gt;"✓",P3&lt;&gt;"",P3&lt;TODAY()),AND(S3&lt;&gt;"✓",R3&lt;&gt;"",R3&lt;TODAY()),AND(V3&lt;&gt;"✓",U3&lt;&gt;"",U3&lt;TODAY())),"遅延",IF(OR(AND(I3&lt;&gt;"✓",H3&lt;&gt;"",H3&lt;=TODAY()+7),AND(K3&lt;&gt;"✓",J3&lt;&gt;"",J3&lt;=TODAY()+7),AND(M3&lt;&gt;"✓",L3&lt;&gt;"",L3&lt;=TODAY()+7),AND(Q3&lt;&gt;"✓",P3&lt;&gt;"",P3&lt;=TODAY()+7),AND(S3&lt;&gt;"✓",R3&lt;&gt;"",R3&lt;=TODAY()+7),AND(V3&lt;&gt;"✓",U3&lt;&gt;"",U3&lt;=TODAY()+7)),"今週対応","進行中"))))</f>
        <v/>
      </c>
      <c r="Y3" s="13">
        <f>IF($A3="","",COUNTIFS(価格!$A$2:$A$251,$A3,価格!$B$2:$B$251,"PC"))</f>
        <v/>
      </c>
      <c r="Z3" s="13">
        <f>IF($A3="","",COUNTIFS(価格!$A$2:$A$251,$A3,価格!$B$2:$B$251,"オプション"))</f>
        <v/>
      </c>
      <c r="AA3" s="13">
        <f>IF($A3="","",COUNTIFS(価格!$A$2:$A$251,$A3)-COUNTIFS(価格!$A$2:$A$251,$A3,価格!$H$2:$H$251,"&gt;0",価格!$J$2:$J$251,"&gt;0"))</f>
        <v/>
      </c>
      <c r="AB3" s="14">
        <f>IF($A3="","",SUMIFS(価格!$N$2:$N$251,価格!$A$2:$A$251,$A3))</f>
        <v/>
      </c>
      <c r="AC3" s="6" t="n"/>
    </row>
    <row r="4">
      <c r="A4" s="6" t="n"/>
      <c r="B4" s="6" t="n"/>
      <c r="C4" s="6" t="n"/>
      <c r="D4" s="6" t="n"/>
      <c r="E4" s="8" t="n"/>
      <c r="F4" s="6" t="n"/>
      <c r="G4" s="6" t="n"/>
      <c r="H4" s="9" t="n"/>
      <c r="I4" s="10" t="n"/>
      <c r="J4" s="9" t="n"/>
      <c r="K4" s="10" t="n"/>
      <c r="L4" s="9" t="n"/>
      <c r="M4" s="10" t="n"/>
      <c r="N4" s="6" t="n"/>
      <c r="O4" s="9" t="n"/>
      <c r="P4" s="9" t="n"/>
      <c r="Q4" s="10" t="n"/>
      <c r="R4" s="9" t="n"/>
      <c r="S4" s="10" t="n"/>
      <c r="T4" s="6" t="n"/>
      <c r="U4" s="9" t="n"/>
      <c r="V4" s="10" t="n"/>
      <c r="W4" s="11">
        <f>IF($A4="","",(COUNTIF(I4,"✓")+ COUNTIF(K4,"✓")+ COUNTIF(M4,"✓")+ COUNTIF(Q4,"✓")+ COUNTIF(S4,"✓")+ COUNTIF(V4,"✓"))/6)</f>
        <v/>
      </c>
      <c r="X4" s="12">
        <f>IF($A4="","",IF(W4=1,"完了",IF(OR(AND(I4&lt;&gt;"✓",H4&lt;&gt;"",H4&lt;TODAY()),AND(K4&lt;&gt;"✓",J4&lt;&gt;"",J4&lt;TODAY()),AND(M4&lt;&gt;"✓",L4&lt;&gt;"",L4&lt;TODAY()),AND(Q4&lt;&gt;"✓",P4&lt;&gt;"",P4&lt;TODAY()),AND(S4&lt;&gt;"✓",R4&lt;&gt;"",R4&lt;TODAY()),AND(V4&lt;&gt;"✓",U4&lt;&gt;"",U4&lt;TODAY())),"遅延",IF(OR(AND(I4&lt;&gt;"✓",H4&lt;&gt;"",H4&lt;=TODAY()+7),AND(K4&lt;&gt;"✓",J4&lt;&gt;"",J4&lt;=TODAY()+7),AND(M4&lt;&gt;"✓",L4&lt;&gt;"",L4&lt;=TODAY()+7),AND(Q4&lt;&gt;"✓",P4&lt;&gt;"",P4&lt;=TODAY()+7),AND(S4&lt;&gt;"✓",R4&lt;&gt;"",R4&lt;=TODAY()+7),AND(V4&lt;&gt;"✓",U4&lt;&gt;"",U4&lt;=TODAY()+7)),"今週対応","進行中"))))</f>
        <v/>
      </c>
      <c r="Y4" s="13">
        <f>IF($A4="","",COUNTIFS(価格!$A$2:$A$251,$A4,価格!$B$2:$B$251,"PC"))</f>
        <v/>
      </c>
      <c r="Z4" s="13">
        <f>IF($A4="","",COUNTIFS(価格!$A$2:$A$251,$A4,価格!$B$2:$B$251,"オプション"))</f>
        <v/>
      </c>
      <c r="AA4" s="13">
        <f>IF($A4="","",COUNTIFS(価格!$A$2:$A$251,$A4)-COUNTIFS(価格!$A$2:$A$251,$A4,価格!$H$2:$H$251,"&gt;0",価格!$J$2:$J$251,"&gt;0"))</f>
        <v/>
      </c>
      <c r="AB4" s="14">
        <f>IF($A4="","",SUMIFS(価格!$N$2:$N$251,価格!$A$2:$A$251,$A4))</f>
        <v/>
      </c>
      <c r="AC4" s="6" t="n"/>
    </row>
    <row r="5">
      <c r="A5" s="6" t="n"/>
      <c r="B5" s="6" t="n"/>
      <c r="C5" s="6" t="n"/>
      <c r="D5" s="6" t="n"/>
      <c r="E5" s="8" t="n"/>
      <c r="F5" s="6" t="n"/>
      <c r="G5" s="6" t="n"/>
      <c r="H5" s="9" t="n"/>
      <c r="I5" s="10" t="n"/>
      <c r="J5" s="9" t="n"/>
      <c r="K5" s="10" t="n"/>
      <c r="L5" s="9" t="n"/>
      <c r="M5" s="10" t="n"/>
      <c r="N5" s="6" t="n"/>
      <c r="O5" s="9" t="n"/>
      <c r="P5" s="9" t="n"/>
      <c r="Q5" s="10" t="n"/>
      <c r="R5" s="9" t="n"/>
      <c r="S5" s="10" t="n"/>
      <c r="T5" s="6" t="n"/>
      <c r="U5" s="9" t="n"/>
      <c r="V5" s="10" t="n"/>
      <c r="W5" s="11">
        <f>IF($A5="","",(COUNTIF(I5,"✓")+ COUNTIF(K5,"✓")+ COUNTIF(M5,"✓")+ COUNTIF(Q5,"✓")+ COUNTIF(S5,"✓")+ COUNTIF(V5,"✓"))/6)</f>
        <v/>
      </c>
      <c r="X5" s="12">
        <f>IF($A5="","",IF(W5=1,"完了",IF(OR(AND(I5&lt;&gt;"✓",H5&lt;&gt;"",H5&lt;TODAY()),AND(K5&lt;&gt;"✓",J5&lt;&gt;"",J5&lt;TODAY()),AND(M5&lt;&gt;"✓",L5&lt;&gt;"",L5&lt;TODAY()),AND(Q5&lt;&gt;"✓",P5&lt;&gt;"",P5&lt;TODAY()),AND(S5&lt;&gt;"✓",R5&lt;&gt;"",R5&lt;TODAY()),AND(V5&lt;&gt;"✓",U5&lt;&gt;"",U5&lt;TODAY())),"遅延",IF(OR(AND(I5&lt;&gt;"✓",H5&lt;&gt;"",H5&lt;=TODAY()+7),AND(K5&lt;&gt;"✓",J5&lt;&gt;"",J5&lt;=TODAY()+7),AND(M5&lt;&gt;"✓",L5&lt;&gt;"",L5&lt;=TODAY()+7),AND(Q5&lt;&gt;"✓",P5&lt;&gt;"",P5&lt;=TODAY()+7),AND(S5&lt;&gt;"✓",R5&lt;&gt;"",R5&lt;=TODAY()+7),AND(V5&lt;&gt;"✓",U5&lt;&gt;"",U5&lt;=TODAY()+7)),"今週対応","進行中"))))</f>
        <v/>
      </c>
      <c r="Y5" s="13">
        <f>IF($A5="","",COUNTIFS(価格!$A$2:$A$251,$A5,価格!$B$2:$B$251,"PC"))</f>
        <v/>
      </c>
      <c r="Z5" s="13">
        <f>IF($A5="","",COUNTIFS(価格!$A$2:$A$251,$A5,価格!$B$2:$B$251,"オプション"))</f>
        <v/>
      </c>
      <c r="AA5" s="13">
        <f>IF($A5="","",COUNTIFS(価格!$A$2:$A$251,$A5)-COUNTIFS(価格!$A$2:$A$251,$A5,価格!$H$2:$H$251,"&gt;0",価格!$J$2:$J$251,"&gt;0"))</f>
        <v/>
      </c>
      <c r="AB5" s="14">
        <f>IF($A5="","",SUMIFS(価格!$N$2:$N$251,価格!$A$2:$A$251,$A5))</f>
        <v/>
      </c>
      <c r="AC5" s="6" t="n"/>
    </row>
    <row r="6">
      <c r="A6" s="6" t="n"/>
      <c r="B6" s="6" t="n"/>
      <c r="C6" s="6" t="n"/>
      <c r="D6" s="6" t="n"/>
      <c r="E6" s="8" t="n"/>
      <c r="F6" s="6" t="n"/>
      <c r="G6" s="6" t="n"/>
      <c r="H6" s="9" t="n"/>
      <c r="I6" s="10" t="n"/>
      <c r="J6" s="9" t="n"/>
      <c r="K6" s="10" t="n"/>
      <c r="L6" s="9" t="n"/>
      <c r="M6" s="10" t="n"/>
      <c r="N6" s="6" t="n"/>
      <c r="O6" s="9" t="n"/>
      <c r="P6" s="9" t="n"/>
      <c r="Q6" s="10" t="n"/>
      <c r="R6" s="9" t="n"/>
      <c r="S6" s="10" t="n"/>
      <c r="T6" s="6" t="n"/>
      <c r="U6" s="9" t="n"/>
      <c r="V6" s="10" t="n"/>
      <c r="W6" s="11">
        <f>IF($A6="","",(COUNTIF(I6,"✓")+ COUNTIF(K6,"✓")+ COUNTIF(M6,"✓")+ COUNTIF(Q6,"✓")+ COUNTIF(S6,"✓")+ COUNTIF(V6,"✓"))/6)</f>
        <v/>
      </c>
      <c r="X6" s="12">
        <f>IF($A6="","",IF(W6=1,"完了",IF(OR(AND(I6&lt;&gt;"✓",H6&lt;&gt;"",H6&lt;TODAY()),AND(K6&lt;&gt;"✓",J6&lt;&gt;"",J6&lt;TODAY()),AND(M6&lt;&gt;"✓",L6&lt;&gt;"",L6&lt;TODAY()),AND(Q6&lt;&gt;"✓",P6&lt;&gt;"",P6&lt;TODAY()),AND(S6&lt;&gt;"✓",R6&lt;&gt;"",R6&lt;TODAY()),AND(V6&lt;&gt;"✓",U6&lt;&gt;"",U6&lt;TODAY())),"遅延",IF(OR(AND(I6&lt;&gt;"✓",H6&lt;&gt;"",H6&lt;=TODAY()+7),AND(K6&lt;&gt;"✓",J6&lt;&gt;"",J6&lt;=TODAY()+7),AND(M6&lt;&gt;"✓",L6&lt;&gt;"",L6&lt;=TODAY()+7),AND(Q6&lt;&gt;"✓",P6&lt;&gt;"",P6&lt;=TODAY()+7),AND(S6&lt;&gt;"✓",R6&lt;&gt;"",R6&lt;=TODAY()+7),AND(V6&lt;&gt;"✓",U6&lt;&gt;"",U6&lt;=TODAY()+7)),"今週対応","進行中"))))</f>
        <v/>
      </c>
      <c r="Y6" s="13">
        <f>IF($A6="","",COUNTIFS(価格!$A$2:$A$251,$A6,価格!$B$2:$B$251,"PC"))</f>
        <v/>
      </c>
      <c r="Z6" s="13">
        <f>IF($A6="","",COUNTIFS(価格!$A$2:$A$251,$A6,価格!$B$2:$B$251,"オプション"))</f>
        <v/>
      </c>
      <c r="AA6" s="13">
        <f>IF($A6="","",COUNTIFS(価格!$A$2:$A$251,$A6)-COUNTIFS(価格!$A$2:$A$251,$A6,価格!$H$2:$H$251,"&gt;0",価格!$J$2:$J$251,"&gt;0"))</f>
        <v/>
      </c>
      <c r="AB6" s="14">
        <f>IF($A6="","",SUMIFS(価格!$N$2:$N$251,価格!$A$2:$A$251,$A6))</f>
        <v/>
      </c>
      <c r="AC6" s="6" t="n"/>
    </row>
    <row r="7">
      <c r="A7" s="6" t="n"/>
      <c r="B7" s="6" t="n"/>
      <c r="C7" s="6" t="n"/>
      <c r="D7" s="6" t="n"/>
      <c r="E7" s="8" t="n"/>
      <c r="F7" s="6" t="n"/>
      <c r="G7" s="6" t="n"/>
      <c r="H7" s="9" t="n"/>
      <c r="I7" s="10" t="n"/>
      <c r="J7" s="9" t="n"/>
      <c r="K7" s="10" t="n"/>
      <c r="L7" s="9" t="n"/>
      <c r="M7" s="10" t="n"/>
      <c r="N7" s="6" t="n"/>
      <c r="O7" s="9" t="n"/>
      <c r="P7" s="9" t="n"/>
      <c r="Q7" s="10" t="n"/>
      <c r="R7" s="9" t="n"/>
      <c r="S7" s="10" t="n"/>
      <c r="T7" s="6" t="n"/>
      <c r="U7" s="9" t="n"/>
      <c r="V7" s="10" t="n"/>
      <c r="W7" s="11">
        <f>IF($A7="","",(COUNTIF(I7,"✓")+ COUNTIF(K7,"✓")+ COUNTIF(M7,"✓")+ COUNTIF(Q7,"✓")+ COUNTIF(S7,"✓")+ COUNTIF(V7,"✓"))/6)</f>
        <v/>
      </c>
      <c r="X7" s="12">
        <f>IF($A7="","",IF(W7=1,"完了",IF(OR(AND(I7&lt;&gt;"✓",H7&lt;&gt;"",H7&lt;TODAY()),AND(K7&lt;&gt;"✓",J7&lt;&gt;"",J7&lt;TODAY()),AND(M7&lt;&gt;"✓",L7&lt;&gt;"",L7&lt;TODAY()),AND(Q7&lt;&gt;"✓",P7&lt;&gt;"",P7&lt;TODAY()),AND(S7&lt;&gt;"✓",R7&lt;&gt;"",R7&lt;TODAY()),AND(V7&lt;&gt;"✓",U7&lt;&gt;"",U7&lt;TODAY())),"遅延",IF(OR(AND(I7&lt;&gt;"✓",H7&lt;&gt;"",H7&lt;=TODAY()+7),AND(K7&lt;&gt;"✓",J7&lt;&gt;"",J7&lt;=TODAY()+7),AND(M7&lt;&gt;"✓",L7&lt;&gt;"",L7&lt;=TODAY()+7),AND(Q7&lt;&gt;"✓",P7&lt;&gt;"",P7&lt;=TODAY()+7),AND(S7&lt;&gt;"✓",R7&lt;&gt;"",R7&lt;=TODAY()+7),AND(V7&lt;&gt;"✓",U7&lt;&gt;"",U7&lt;=TODAY()+7)),"今週対応","進行中"))))</f>
        <v/>
      </c>
      <c r="Y7" s="13">
        <f>IF($A7="","",COUNTIFS(価格!$A$2:$A$251,$A7,価格!$B$2:$B$251,"PC"))</f>
        <v/>
      </c>
      <c r="Z7" s="13">
        <f>IF($A7="","",COUNTIFS(価格!$A$2:$A$251,$A7,価格!$B$2:$B$251,"オプション"))</f>
        <v/>
      </c>
      <c r="AA7" s="13">
        <f>IF($A7="","",COUNTIFS(価格!$A$2:$A$251,$A7)-COUNTIFS(価格!$A$2:$A$251,$A7,価格!$H$2:$H$251,"&gt;0",価格!$J$2:$J$251,"&gt;0"))</f>
        <v/>
      </c>
      <c r="AB7" s="14">
        <f>IF($A7="","",SUMIFS(価格!$N$2:$N$251,価格!$A$2:$A$251,$A7))</f>
        <v/>
      </c>
      <c r="AC7" s="6" t="n"/>
    </row>
    <row r="8">
      <c r="A8" s="6" t="n"/>
      <c r="B8" s="6" t="n"/>
      <c r="C8" s="6" t="n"/>
      <c r="D8" s="6" t="n"/>
      <c r="E8" s="8" t="n"/>
      <c r="F8" s="6" t="n"/>
      <c r="G8" s="6" t="n"/>
      <c r="H8" s="9" t="n"/>
      <c r="I8" s="10" t="n"/>
      <c r="J8" s="9" t="n"/>
      <c r="K8" s="10" t="n"/>
      <c r="L8" s="9" t="n"/>
      <c r="M8" s="10" t="n"/>
      <c r="N8" s="6" t="n"/>
      <c r="O8" s="9" t="n"/>
      <c r="P8" s="9" t="n"/>
      <c r="Q8" s="10" t="n"/>
      <c r="R8" s="9" t="n"/>
      <c r="S8" s="10" t="n"/>
      <c r="T8" s="6" t="n"/>
      <c r="U8" s="9" t="n"/>
      <c r="V8" s="10" t="n"/>
      <c r="W8" s="11">
        <f>IF($A8="","",(COUNTIF(I8,"✓")+ COUNTIF(K8,"✓")+ COUNTIF(M8,"✓")+ COUNTIF(Q8,"✓")+ COUNTIF(S8,"✓")+ COUNTIF(V8,"✓"))/6)</f>
        <v/>
      </c>
      <c r="X8" s="12">
        <f>IF($A8="","",IF(W8=1,"完了",IF(OR(AND(I8&lt;&gt;"✓",H8&lt;&gt;"",H8&lt;TODAY()),AND(K8&lt;&gt;"✓",J8&lt;&gt;"",J8&lt;TODAY()),AND(M8&lt;&gt;"✓",L8&lt;&gt;"",L8&lt;TODAY()),AND(Q8&lt;&gt;"✓",P8&lt;&gt;"",P8&lt;TODAY()),AND(S8&lt;&gt;"✓",R8&lt;&gt;"",R8&lt;TODAY()),AND(V8&lt;&gt;"✓",U8&lt;&gt;"",U8&lt;TODAY())),"遅延",IF(OR(AND(I8&lt;&gt;"✓",H8&lt;&gt;"",H8&lt;=TODAY()+7),AND(K8&lt;&gt;"✓",J8&lt;&gt;"",J8&lt;=TODAY()+7),AND(M8&lt;&gt;"✓",L8&lt;&gt;"",L8&lt;=TODAY()+7),AND(Q8&lt;&gt;"✓",P8&lt;&gt;"",P8&lt;=TODAY()+7),AND(S8&lt;&gt;"✓",R8&lt;&gt;"",R8&lt;=TODAY()+7),AND(V8&lt;&gt;"✓",U8&lt;&gt;"",U8&lt;=TODAY()+7)),"今週対応","進行中"))))</f>
        <v/>
      </c>
      <c r="Y8" s="13">
        <f>IF($A8="","",COUNTIFS(価格!$A$2:$A$251,$A8,価格!$B$2:$B$251,"PC"))</f>
        <v/>
      </c>
      <c r="Z8" s="13">
        <f>IF($A8="","",COUNTIFS(価格!$A$2:$A$251,$A8,価格!$B$2:$B$251,"オプション"))</f>
        <v/>
      </c>
      <c r="AA8" s="13">
        <f>IF($A8="","",COUNTIFS(価格!$A$2:$A$251,$A8)-COUNTIFS(価格!$A$2:$A$251,$A8,価格!$H$2:$H$251,"&gt;0",価格!$J$2:$J$251,"&gt;0"))</f>
        <v/>
      </c>
      <c r="AB8" s="14">
        <f>IF($A8="","",SUMIFS(価格!$N$2:$N$251,価格!$A$2:$A$251,$A8))</f>
        <v/>
      </c>
      <c r="AC8" s="6" t="n"/>
    </row>
    <row r="9">
      <c r="A9" s="6" t="n"/>
      <c r="B9" s="6" t="n"/>
      <c r="C9" s="6" t="n"/>
      <c r="D9" s="6" t="n"/>
      <c r="E9" s="8" t="n"/>
      <c r="F9" s="6" t="n"/>
      <c r="G9" s="6" t="n"/>
      <c r="H9" s="9" t="n"/>
      <c r="I9" s="10" t="n"/>
      <c r="J9" s="9" t="n"/>
      <c r="K9" s="10" t="n"/>
      <c r="L9" s="9" t="n"/>
      <c r="M9" s="10" t="n"/>
      <c r="N9" s="6" t="n"/>
      <c r="O9" s="9" t="n"/>
      <c r="P9" s="9" t="n"/>
      <c r="Q9" s="10" t="n"/>
      <c r="R9" s="9" t="n"/>
      <c r="S9" s="10" t="n"/>
      <c r="T9" s="6" t="n"/>
      <c r="U9" s="9" t="n"/>
      <c r="V9" s="10" t="n"/>
      <c r="W9" s="11">
        <f>IF($A9="","",(COUNTIF(I9,"✓")+ COUNTIF(K9,"✓")+ COUNTIF(M9,"✓")+ COUNTIF(Q9,"✓")+ COUNTIF(S9,"✓")+ COUNTIF(V9,"✓"))/6)</f>
        <v/>
      </c>
      <c r="X9" s="12">
        <f>IF($A9="","",IF(W9=1,"完了",IF(OR(AND(I9&lt;&gt;"✓",H9&lt;&gt;"",H9&lt;TODAY()),AND(K9&lt;&gt;"✓",J9&lt;&gt;"",J9&lt;TODAY()),AND(M9&lt;&gt;"✓",L9&lt;&gt;"",L9&lt;TODAY()),AND(Q9&lt;&gt;"✓",P9&lt;&gt;"",P9&lt;TODAY()),AND(S9&lt;&gt;"✓",R9&lt;&gt;"",R9&lt;TODAY()),AND(V9&lt;&gt;"✓",U9&lt;&gt;"",U9&lt;TODAY())),"遅延",IF(OR(AND(I9&lt;&gt;"✓",H9&lt;&gt;"",H9&lt;=TODAY()+7),AND(K9&lt;&gt;"✓",J9&lt;&gt;"",J9&lt;=TODAY()+7),AND(M9&lt;&gt;"✓",L9&lt;&gt;"",L9&lt;=TODAY()+7),AND(Q9&lt;&gt;"✓",P9&lt;&gt;"",P9&lt;=TODAY()+7),AND(S9&lt;&gt;"✓",R9&lt;&gt;"",R9&lt;=TODAY()+7),AND(V9&lt;&gt;"✓",U9&lt;&gt;"",U9&lt;=TODAY()+7)),"今週対応","進行中"))))</f>
        <v/>
      </c>
      <c r="Y9" s="13">
        <f>IF($A9="","",COUNTIFS(価格!$A$2:$A$251,$A9,価格!$B$2:$B$251,"PC"))</f>
        <v/>
      </c>
      <c r="Z9" s="13">
        <f>IF($A9="","",COUNTIFS(価格!$A$2:$A$251,$A9,価格!$B$2:$B$251,"オプション"))</f>
        <v/>
      </c>
      <c r="AA9" s="13">
        <f>IF($A9="","",COUNTIFS(価格!$A$2:$A$251,$A9)-COUNTIFS(価格!$A$2:$A$251,$A9,価格!$H$2:$H$251,"&gt;0",価格!$J$2:$J$251,"&gt;0"))</f>
        <v/>
      </c>
      <c r="AB9" s="14">
        <f>IF($A9="","",SUMIFS(価格!$N$2:$N$251,価格!$A$2:$A$251,$A9))</f>
        <v/>
      </c>
      <c r="AC9" s="6" t="n"/>
    </row>
    <row r="10">
      <c r="A10" s="6" t="n"/>
      <c r="B10" s="6" t="n"/>
      <c r="C10" s="6" t="n"/>
      <c r="D10" s="6" t="n"/>
      <c r="E10" s="8" t="n"/>
      <c r="F10" s="6" t="n"/>
      <c r="G10" s="6" t="n"/>
      <c r="H10" s="9" t="n"/>
      <c r="I10" s="10" t="n"/>
      <c r="J10" s="9" t="n"/>
      <c r="K10" s="10" t="n"/>
      <c r="L10" s="9" t="n"/>
      <c r="M10" s="10" t="n"/>
      <c r="N10" s="6" t="n"/>
      <c r="O10" s="9" t="n"/>
      <c r="P10" s="9" t="n"/>
      <c r="Q10" s="10" t="n"/>
      <c r="R10" s="9" t="n"/>
      <c r="S10" s="10" t="n"/>
      <c r="T10" s="6" t="n"/>
      <c r="U10" s="9" t="n"/>
      <c r="V10" s="10" t="n"/>
      <c r="W10" s="11">
        <f>IF($A10="","",(COUNTIF(I10,"✓")+ COUNTIF(K10,"✓")+ COUNTIF(M10,"✓")+ COUNTIF(Q10,"✓")+ COUNTIF(S10,"✓")+ COUNTIF(V10,"✓"))/6)</f>
        <v/>
      </c>
      <c r="X10" s="12">
        <f>IF($A10="","",IF(W10=1,"完了",IF(OR(AND(I10&lt;&gt;"✓",H10&lt;&gt;"",H10&lt;TODAY()),AND(K10&lt;&gt;"✓",J10&lt;&gt;"",J10&lt;TODAY()),AND(M10&lt;&gt;"✓",L10&lt;&gt;"",L10&lt;TODAY()),AND(Q10&lt;&gt;"✓",P10&lt;&gt;"",P10&lt;TODAY()),AND(S10&lt;&gt;"✓",R10&lt;&gt;"",R10&lt;TODAY()),AND(V10&lt;&gt;"✓",U10&lt;&gt;"",U10&lt;TODAY())),"遅延",IF(OR(AND(I10&lt;&gt;"✓",H10&lt;&gt;"",H10&lt;=TODAY()+7),AND(K10&lt;&gt;"✓",J10&lt;&gt;"",J10&lt;=TODAY()+7),AND(M10&lt;&gt;"✓",L10&lt;&gt;"",L10&lt;=TODAY()+7),AND(Q10&lt;&gt;"✓",P10&lt;&gt;"",P10&lt;=TODAY()+7),AND(S10&lt;&gt;"✓",R10&lt;&gt;"",R10&lt;=TODAY()+7),AND(V10&lt;&gt;"✓",U10&lt;&gt;"",U10&lt;=TODAY()+7)),"今週対応","進行中"))))</f>
        <v/>
      </c>
      <c r="Y10" s="13">
        <f>IF($A10="","",COUNTIFS(価格!$A$2:$A$251,$A10,価格!$B$2:$B$251,"PC"))</f>
        <v/>
      </c>
      <c r="Z10" s="13">
        <f>IF($A10="","",COUNTIFS(価格!$A$2:$A$251,$A10,価格!$B$2:$B$251,"オプション"))</f>
        <v/>
      </c>
      <c r="AA10" s="13">
        <f>IF($A10="","",COUNTIFS(価格!$A$2:$A$251,$A10)-COUNTIFS(価格!$A$2:$A$251,$A10,価格!$H$2:$H$251,"&gt;0",価格!$J$2:$J$251,"&gt;0"))</f>
        <v/>
      </c>
      <c r="AB10" s="14">
        <f>IF($A10="","",SUMIFS(価格!$N$2:$N$251,価格!$A$2:$A$251,$A10))</f>
        <v/>
      </c>
      <c r="AC10" s="6" t="n"/>
    </row>
    <row r="11">
      <c r="A11" s="6" t="n"/>
      <c r="B11" s="6" t="n"/>
      <c r="C11" s="6" t="n"/>
      <c r="D11" s="6" t="n"/>
      <c r="E11" s="8" t="n"/>
      <c r="F11" s="6" t="n"/>
      <c r="G11" s="6" t="n"/>
      <c r="H11" s="9" t="n"/>
      <c r="I11" s="10" t="n"/>
      <c r="J11" s="9" t="n"/>
      <c r="K11" s="10" t="n"/>
      <c r="L11" s="9" t="n"/>
      <c r="M11" s="10" t="n"/>
      <c r="N11" s="6" t="n"/>
      <c r="O11" s="9" t="n"/>
      <c r="P11" s="9" t="n"/>
      <c r="Q11" s="10" t="n"/>
      <c r="R11" s="9" t="n"/>
      <c r="S11" s="10" t="n"/>
      <c r="T11" s="6" t="n"/>
      <c r="U11" s="9" t="n"/>
      <c r="V11" s="10" t="n"/>
      <c r="W11" s="11">
        <f>IF($A11="","",(COUNTIF(I11,"✓")+ COUNTIF(K11,"✓")+ COUNTIF(M11,"✓")+ COUNTIF(Q11,"✓")+ COUNTIF(S11,"✓")+ COUNTIF(V11,"✓"))/6)</f>
        <v/>
      </c>
      <c r="X11" s="12">
        <f>IF($A11="","",IF(W11=1,"完了",IF(OR(AND(I11&lt;&gt;"✓",H11&lt;&gt;"",H11&lt;TODAY()),AND(K11&lt;&gt;"✓",J11&lt;&gt;"",J11&lt;TODAY()),AND(M11&lt;&gt;"✓",L11&lt;&gt;"",L11&lt;TODAY()),AND(Q11&lt;&gt;"✓",P11&lt;&gt;"",P11&lt;TODAY()),AND(S11&lt;&gt;"✓",R11&lt;&gt;"",R11&lt;TODAY()),AND(V11&lt;&gt;"✓",U11&lt;&gt;"",U11&lt;TODAY())),"遅延",IF(OR(AND(I11&lt;&gt;"✓",H11&lt;&gt;"",H11&lt;=TODAY()+7),AND(K11&lt;&gt;"✓",J11&lt;&gt;"",J11&lt;=TODAY()+7),AND(M11&lt;&gt;"✓",L11&lt;&gt;"",L11&lt;=TODAY()+7),AND(Q11&lt;&gt;"✓",P11&lt;&gt;"",P11&lt;=TODAY()+7),AND(S11&lt;&gt;"✓",R11&lt;&gt;"",R11&lt;=TODAY()+7),AND(V11&lt;&gt;"✓",U11&lt;&gt;"",U11&lt;=TODAY()+7)),"今週対応","進行中"))))</f>
        <v/>
      </c>
      <c r="Y11" s="13">
        <f>IF($A11="","",COUNTIFS(価格!$A$2:$A$251,$A11,価格!$B$2:$B$251,"PC"))</f>
        <v/>
      </c>
      <c r="Z11" s="13">
        <f>IF($A11="","",COUNTIFS(価格!$A$2:$A$251,$A11,価格!$B$2:$B$251,"オプション"))</f>
        <v/>
      </c>
      <c r="AA11" s="13">
        <f>IF($A11="","",COUNTIFS(価格!$A$2:$A$251,$A11)-COUNTIFS(価格!$A$2:$A$251,$A11,価格!$H$2:$H$251,"&gt;0",価格!$J$2:$J$251,"&gt;0"))</f>
        <v/>
      </c>
      <c r="AB11" s="14">
        <f>IF($A11="","",SUMIFS(価格!$N$2:$N$251,価格!$A$2:$A$251,$A11))</f>
        <v/>
      </c>
      <c r="AC11" s="6" t="n"/>
    </row>
    <row r="12">
      <c r="A12" s="6" t="n"/>
      <c r="B12" s="6" t="n"/>
      <c r="C12" s="6" t="n"/>
      <c r="D12" s="6" t="n"/>
      <c r="E12" s="8" t="n"/>
      <c r="F12" s="6" t="n"/>
      <c r="G12" s="6" t="n"/>
      <c r="H12" s="9" t="n"/>
      <c r="I12" s="10" t="n"/>
      <c r="J12" s="9" t="n"/>
      <c r="K12" s="10" t="n"/>
      <c r="L12" s="9" t="n"/>
      <c r="M12" s="10" t="n"/>
      <c r="N12" s="6" t="n"/>
      <c r="O12" s="9" t="n"/>
      <c r="P12" s="9" t="n"/>
      <c r="Q12" s="10" t="n"/>
      <c r="R12" s="9" t="n"/>
      <c r="S12" s="10" t="n"/>
      <c r="T12" s="6" t="n"/>
      <c r="U12" s="9" t="n"/>
      <c r="V12" s="10" t="n"/>
      <c r="W12" s="11">
        <f>IF($A12="","",(COUNTIF(I12,"✓")+ COUNTIF(K12,"✓")+ COUNTIF(M12,"✓")+ COUNTIF(Q12,"✓")+ COUNTIF(S12,"✓")+ COUNTIF(V12,"✓"))/6)</f>
        <v/>
      </c>
      <c r="X12" s="12">
        <f>IF($A12="","",IF(W12=1,"完了",IF(OR(AND(I12&lt;&gt;"✓",H12&lt;&gt;"",H12&lt;TODAY()),AND(K12&lt;&gt;"✓",J12&lt;&gt;"",J12&lt;TODAY()),AND(M12&lt;&gt;"✓",L12&lt;&gt;"",L12&lt;TODAY()),AND(Q12&lt;&gt;"✓",P12&lt;&gt;"",P12&lt;TODAY()),AND(S12&lt;&gt;"✓",R12&lt;&gt;"",R12&lt;TODAY()),AND(V12&lt;&gt;"✓",U12&lt;&gt;"",U12&lt;TODAY())),"遅延",IF(OR(AND(I12&lt;&gt;"✓",H12&lt;&gt;"",H12&lt;=TODAY()+7),AND(K12&lt;&gt;"✓",J12&lt;&gt;"",J12&lt;=TODAY()+7),AND(M12&lt;&gt;"✓",L12&lt;&gt;"",L12&lt;=TODAY()+7),AND(Q12&lt;&gt;"✓",P12&lt;&gt;"",P12&lt;=TODAY()+7),AND(S12&lt;&gt;"✓",R12&lt;&gt;"",R12&lt;=TODAY()+7),AND(V12&lt;&gt;"✓",U12&lt;&gt;"",U12&lt;=TODAY()+7)),"今週対応","進行中"))))</f>
        <v/>
      </c>
      <c r="Y12" s="13">
        <f>IF($A12="","",COUNTIFS(価格!$A$2:$A$251,$A12,価格!$B$2:$B$251,"PC"))</f>
        <v/>
      </c>
      <c r="Z12" s="13">
        <f>IF($A12="","",COUNTIFS(価格!$A$2:$A$251,$A12,価格!$B$2:$B$251,"オプション"))</f>
        <v/>
      </c>
      <c r="AA12" s="13">
        <f>IF($A12="","",COUNTIFS(価格!$A$2:$A$251,$A12)-COUNTIFS(価格!$A$2:$A$251,$A12,価格!$H$2:$H$251,"&gt;0",価格!$J$2:$J$251,"&gt;0"))</f>
        <v/>
      </c>
      <c r="AB12" s="14">
        <f>IF($A12="","",SUMIFS(価格!$N$2:$N$251,価格!$A$2:$A$251,$A12))</f>
        <v/>
      </c>
      <c r="AC12" s="6" t="n"/>
    </row>
    <row r="13">
      <c r="A13" s="6" t="n"/>
      <c r="B13" s="6" t="n"/>
      <c r="C13" s="6" t="n"/>
      <c r="D13" s="6" t="n"/>
      <c r="E13" s="8" t="n"/>
      <c r="F13" s="6" t="n"/>
      <c r="G13" s="6" t="n"/>
      <c r="H13" s="9" t="n"/>
      <c r="I13" s="10" t="n"/>
      <c r="J13" s="9" t="n"/>
      <c r="K13" s="10" t="n"/>
      <c r="L13" s="9" t="n"/>
      <c r="M13" s="10" t="n"/>
      <c r="N13" s="6" t="n"/>
      <c r="O13" s="9" t="n"/>
      <c r="P13" s="9" t="n"/>
      <c r="Q13" s="10" t="n"/>
      <c r="R13" s="9" t="n"/>
      <c r="S13" s="10" t="n"/>
      <c r="T13" s="6" t="n"/>
      <c r="U13" s="9" t="n"/>
      <c r="V13" s="10" t="n"/>
      <c r="W13" s="11">
        <f>IF($A13="","",(COUNTIF(I13,"✓")+ COUNTIF(K13,"✓")+ COUNTIF(M13,"✓")+ COUNTIF(Q13,"✓")+ COUNTIF(S13,"✓")+ COUNTIF(V13,"✓"))/6)</f>
        <v/>
      </c>
      <c r="X13" s="12">
        <f>IF($A13="","",IF(W13=1,"完了",IF(OR(AND(I13&lt;&gt;"✓",H13&lt;&gt;"",H13&lt;TODAY()),AND(K13&lt;&gt;"✓",J13&lt;&gt;"",J13&lt;TODAY()),AND(M13&lt;&gt;"✓",L13&lt;&gt;"",L13&lt;TODAY()),AND(Q13&lt;&gt;"✓",P13&lt;&gt;"",P13&lt;TODAY()),AND(S13&lt;&gt;"✓",R13&lt;&gt;"",R13&lt;TODAY()),AND(V13&lt;&gt;"✓",U13&lt;&gt;"",U13&lt;TODAY())),"遅延",IF(OR(AND(I13&lt;&gt;"✓",H13&lt;&gt;"",H13&lt;=TODAY()+7),AND(K13&lt;&gt;"✓",J13&lt;&gt;"",J13&lt;=TODAY()+7),AND(M13&lt;&gt;"✓",L13&lt;&gt;"",L13&lt;=TODAY()+7),AND(Q13&lt;&gt;"✓",P13&lt;&gt;"",P13&lt;=TODAY()+7),AND(S13&lt;&gt;"✓",R13&lt;&gt;"",R13&lt;=TODAY()+7),AND(V13&lt;&gt;"✓",U13&lt;&gt;"",U13&lt;=TODAY()+7)),"今週対応","進行中"))))</f>
        <v/>
      </c>
      <c r="Y13" s="13">
        <f>IF($A13="","",COUNTIFS(価格!$A$2:$A$251,$A13,価格!$B$2:$B$251,"PC"))</f>
        <v/>
      </c>
      <c r="Z13" s="13">
        <f>IF($A13="","",COUNTIFS(価格!$A$2:$A$251,$A13,価格!$B$2:$B$251,"オプション"))</f>
        <v/>
      </c>
      <c r="AA13" s="13">
        <f>IF($A13="","",COUNTIFS(価格!$A$2:$A$251,$A13)-COUNTIFS(価格!$A$2:$A$251,$A13,価格!$H$2:$H$251,"&gt;0",価格!$J$2:$J$251,"&gt;0"))</f>
        <v/>
      </c>
      <c r="AB13" s="14">
        <f>IF($A13="","",SUMIFS(価格!$N$2:$N$251,価格!$A$2:$A$251,$A13))</f>
        <v/>
      </c>
      <c r="AC13" s="6" t="n"/>
    </row>
    <row r="14">
      <c r="A14" s="6" t="n"/>
      <c r="B14" s="6" t="n"/>
      <c r="C14" s="6" t="n"/>
      <c r="D14" s="6" t="n"/>
      <c r="E14" s="8" t="n"/>
      <c r="F14" s="6" t="n"/>
      <c r="G14" s="6" t="n"/>
      <c r="H14" s="9" t="n"/>
      <c r="I14" s="10" t="n"/>
      <c r="J14" s="9" t="n"/>
      <c r="K14" s="10" t="n"/>
      <c r="L14" s="9" t="n"/>
      <c r="M14" s="10" t="n"/>
      <c r="N14" s="6" t="n"/>
      <c r="O14" s="9" t="n"/>
      <c r="P14" s="9" t="n"/>
      <c r="Q14" s="10" t="n"/>
      <c r="R14" s="9" t="n"/>
      <c r="S14" s="10" t="n"/>
      <c r="T14" s="6" t="n"/>
      <c r="U14" s="9" t="n"/>
      <c r="V14" s="10" t="n"/>
      <c r="W14" s="11">
        <f>IF($A14="","",(COUNTIF(I14,"✓")+ COUNTIF(K14,"✓")+ COUNTIF(M14,"✓")+ COUNTIF(Q14,"✓")+ COUNTIF(S14,"✓")+ COUNTIF(V14,"✓"))/6)</f>
        <v/>
      </c>
      <c r="X14" s="12">
        <f>IF($A14="","",IF(W14=1,"完了",IF(OR(AND(I14&lt;&gt;"✓",H14&lt;&gt;"",H14&lt;TODAY()),AND(K14&lt;&gt;"✓",J14&lt;&gt;"",J14&lt;TODAY()),AND(M14&lt;&gt;"✓",L14&lt;&gt;"",L14&lt;TODAY()),AND(Q14&lt;&gt;"✓",P14&lt;&gt;"",P14&lt;TODAY()),AND(S14&lt;&gt;"✓",R14&lt;&gt;"",R14&lt;TODAY()),AND(V14&lt;&gt;"✓",U14&lt;&gt;"",U14&lt;TODAY())),"遅延",IF(OR(AND(I14&lt;&gt;"✓",H14&lt;&gt;"",H14&lt;=TODAY()+7),AND(K14&lt;&gt;"✓",J14&lt;&gt;"",J14&lt;=TODAY()+7),AND(M14&lt;&gt;"✓",L14&lt;&gt;"",L14&lt;=TODAY()+7),AND(Q14&lt;&gt;"✓",P14&lt;&gt;"",P14&lt;=TODAY()+7),AND(S14&lt;&gt;"✓",R14&lt;&gt;"",R14&lt;=TODAY()+7),AND(V14&lt;&gt;"✓",U14&lt;&gt;"",U14&lt;=TODAY()+7)),"今週対応","進行中"))))</f>
        <v/>
      </c>
      <c r="Y14" s="13">
        <f>IF($A14="","",COUNTIFS(価格!$A$2:$A$251,$A14,価格!$B$2:$B$251,"PC"))</f>
        <v/>
      </c>
      <c r="Z14" s="13">
        <f>IF($A14="","",COUNTIFS(価格!$A$2:$A$251,$A14,価格!$B$2:$B$251,"オプション"))</f>
        <v/>
      </c>
      <c r="AA14" s="13">
        <f>IF($A14="","",COUNTIFS(価格!$A$2:$A$251,$A14)-COUNTIFS(価格!$A$2:$A$251,$A14,価格!$H$2:$H$251,"&gt;0",価格!$J$2:$J$251,"&gt;0"))</f>
        <v/>
      </c>
      <c r="AB14" s="14">
        <f>IF($A14="","",SUMIFS(価格!$N$2:$N$251,価格!$A$2:$A$251,$A14))</f>
        <v/>
      </c>
      <c r="AC14" s="6" t="n"/>
    </row>
    <row r="15">
      <c r="A15" s="6" t="n"/>
      <c r="B15" s="6" t="n"/>
      <c r="C15" s="6" t="n"/>
      <c r="D15" s="6" t="n"/>
      <c r="E15" s="8" t="n"/>
      <c r="F15" s="6" t="n"/>
      <c r="G15" s="6" t="n"/>
      <c r="H15" s="9" t="n"/>
      <c r="I15" s="10" t="n"/>
      <c r="J15" s="9" t="n"/>
      <c r="K15" s="10" t="n"/>
      <c r="L15" s="9" t="n"/>
      <c r="M15" s="10" t="n"/>
      <c r="N15" s="6" t="n"/>
      <c r="O15" s="9" t="n"/>
      <c r="P15" s="9" t="n"/>
      <c r="Q15" s="10" t="n"/>
      <c r="R15" s="9" t="n"/>
      <c r="S15" s="10" t="n"/>
      <c r="T15" s="6" t="n"/>
      <c r="U15" s="9" t="n"/>
      <c r="V15" s="10" t="n"/>
      <c r="W15" s="11">
        <f>IF($A15="","",(COUNTIF(I15,"✓")+ COUNTIF(K15,"✓")+ COUNTIF(M15,"✓")+ COUNTIF(Q15,"✓")+ COUNTIF(S15,"✓")+ COUNTIF(V15,"✓"))/6)</f>
        <v/>
      </c>
      <c r="X15" s="12">
        <f>IF($A15="","",IF(W15=1,"完了",IF(OR(AND(I15&lt;&gt;"✓",H15&lt;&gt;"",H15&lt;TODAY()),AND(K15&lt;&gt;"✓",J15&lt;&gt;"",J15&lt;TODAY()),AND(M15&lt;&gt;"✓",L15&lt;&gt;"",L15&lt;TODAY()),AND(Q15&lt;&gt;"✓",P15&lt;&gt;"",P15&lt;TODAY()),AND(S15&lt;&gt;"✓",R15&lt;&gt;"",R15&lt;TODAY()),AND(V15&lt;&gt;"✓",U15&lt;&gt;"",U15&lt;TODAY())),"遅延",IF(OR(AND(I15&lt;&gt;"✓",H15&lt;&gt;"",H15&lt;=TODAY()+7),AND(K15&lt;&gt;"✓",J15&lt;&gt;"",J15&lt;=TODAY()+7),AND(M15&lt;&gt;"✓",L15&lt;&gt;"",L15&lt;=TODAY()+7),AND(Q15&lt;&gt;"✓",P15&lt;&gt;"",P15&lt;=TODAY()+7),AND(S15&lt;&gt;"✓",R15&lt;&gt;"",R15&lt;=TODAY()+7),AND(V15&lt;&gt;"✓",U15&lt;&gt;"",U15&lt;=TODAY()+7)),"今週対応","進行中"))))</f>
        <v/>
      </c>
      <c r="Y15" s="13">
        <f>IF($A15="","",COUNTIFS(価格!$A$2:$A$251,$A15,価格!$B$2:$B$251,"PC"))</f>
        <v/>
      </c>
      <c r="Z15" s="13">
        <f>IF($A15="","",COUNTIFS(価格!$A$2:$A$251,$A15,価格!$B$2:$B$251,"オプション"))</f>
        <v/>
      </c>
      <c r="AA15" s="13">
        <f>IF($A15="","",COUNTIFS(価格!$A$2:$A$251,$A15)-COUNTIFS(価格!$A$2:$A$251,$A15,価格!$H$2:$H$251,"&gt;0",価格!$J$2:$J$251,"&gt;0"))</f>
        <v/>
      </c>
      <c r="AB15" s="14">
        <f>IF($A15="","",SUMIFS(価格!$N$2:$N$251,価格!$A$2:$A$251,$A15))</f>
        <v/>
      </c>
      <c r="AC15" s="6" t="n"/>
    </row>
    <row r="16">
      <c r="A16" s="6" t="n"/>
      <c r="B16" s="6" t="n"/>
      <c r="C16" s="6" t="n"/>
      <c r="D16" s="6" t="n"/>
      <c r="E16" s="8" t="n"/>
      <c r="F16" s="6" t="n"/>
      <c r="G16" s="6" t="n"/>
      <c r="H16" s="9" t="n"/>
      <c r="I16" s="10" t="n"/>
      <c r="J16" s="9" t="n"/>
      <c r="K16" s="10" t="n"/>
      <c r="L16" s="9" t="n"/>
      <c r="M16" s="10" t="n"/>
      <c r="N16" s="6" t="n"/>
      <c r="O16" s="9" t="n"/>
      <c r="P16" s="9" t="n"/>
      <c r="Q16" s="10" t="n"/>
      <c r="R16" s="9" t="n"/>
      <c r="S16" s="10" t="n"/>
      <c r="T16" s="6" t="n"/>
      <c r="U16" s="9" t="n"/>
      <c r="V16" s="10" t="n"/>
      <c r="W16" s="11">
        <f>IF($A16="","",(COUNTIF(I16,"✓")+ COUNTIF(K16,"✓")+ COUNTIF(M16,"✓")+ COUNTIF(Q16,"✓")+ COUNTIF(S16,"✓")+ COUNTIF(V16,"✓"))/6)</f>
        <v/>
      </c>
      <c r="X16" s="12">
        <f>IF($A16="","",IF(W16=1,"完了",IF(OR(AND(I16&lt;&gt;"✓",H16&lt;&gt;"",H16&lt;TODAY()),AND(K16&lt;&gt;"✓",J16&lt;&gt;"",J16&lt;TODAY()),AND(M16&lt;&gt;"✓",L16&lt;&gt;"",L16&lt;TODAY()),AND(Q16&lt;&gt;"✓",P16&lt;&gt;"",P16&lt;TODAY()),AND(S16&lt;&gt;"✓",R16&lt;&gt;"",R16&lt;TODAY()),AND(V16&lt;&gt;"✓",U16&lt;&gt;"",U16&lt;TODAY())),"遅延",IF(OR(AND(I16&lt;&gt;"✓",H16&lt;&gt;"",H16&lt;=TODAY()+7),AND(K16&lt;&gt;"✓",J16&lt;&gt;"",J16&lt;=TODAY()+7),AND(M16&lt;&gt;"✓",L16&lt;&gt;"",L16&lt;=TODAY()+7),AND(Q16&lt;&gt;"✓",P16&lt;&gt;"",P16&lt;=TODAY()+7),AND(S16&lt;&gt;"✓",R16&lt;&gt;"",R16&lt;=TODAY()+7),AND(V16&lt;&gt;"✓",U16&lt;&gt;"",U16&lt;=TODAY()+7)),"今週対応","進行中"))))</f>
        <v/>
      </c>
      <c r="Y16" s="13">
        <f>IF($A16="","",COUNTIFS(価格!$A$2:$A$251,$A16,価格!$B$2:$B$251,"PC"))</f>
        <v/>
      </c>
      <c r="Z16" s="13">
        <f>IF($A16="","",COUNTIFS(価格!$A$2:$A$251,$A16,価格!$B$2:$B$251,"オプション"))</f>
        <v/>
      </c>
      <c r="AA16" s="13">
        <f>IF($A16="","",COUNTIFS(価格!$A$2:$A$251,$A16)-COUNTIFS(価格!$A$2:$A$251,$A16,価格!$H$2:$H$251,"&gt;0",価格!$J$2:$J$251,"&gt;0"))</f>
        <v/>
      </c>
      <c r="AB16" s="14">
        <f>IF($A16="","",SUMIFS(価格!$N$2:$N$251,価格!$A$2:$A$251,$A16))</f>
        <v/>
      </c>
      <c r="AC16" s="6" t="n"/>
    </row>
    <row r="17">
      <c r="A17" s="6" t="n"/>
      <c r="B17" s="6" t="n"/>
      <c r="C17" s="6" t="n"/>
      <c r="D17" s="6" t="n"/>
      <c r="E17" s="8" t="n"/>
      <c r="F17" s="6" t="n"/>
      <c r="G17" s="6" t="n"/>
      <c r="H17" s="9" t="n"/>
      <c r="I17" s="10" t="n"/>
      <c r="J17" s="9" t="n"/>
      <c r="K17" s="10" t="n"/>
      <c r="L17" s="9" t="n"/>
      <c r="M17" s="10" t="n"/>
      <c r="N17" s="6" t="n"/>
      <c r="O17" s="9" t="n"/>
      <c r="P17" s="9" t="n"/>
      <c r="Q17" s="10" t="n"/>
      <c r="R17" s="9" t="n"/>
      <c r="S17" s="10" t="n"/>
      <c r="T17" s="6" t="n"/>
      <c r="U17" s="9" t="n"/>
      <c r="V17" s="10" t="n"/>
      <c r="W17" s="11">
        <f>IF($A17="","",(COUNTIF(I17,"✓")+ COUNTIF(K17,"✓")+ COUNTIF(M17,"✓")+ COUNTIF(Q17,"✓")+ COUNTIF(S17,"✓")+ COUNTIF(V17,"✓"))/6)</f>
        <v/>
      </c>
      <c r="X17" s="12">
        <f>IF($A17="","",IF(W17=1,"完了",IF(OR(AND(I17&lt;&gt;"✓",H17&lt;&gt;"",H17&lt;TODAY()),AND(K17&lt;&gt;"✓",J17&lt;&gt;"",J17&lt;TODAY()),AND(M17&lt;&gt;"✓",L17&lt;&gt;"",L17&lt;TODAY()),AND(Q17&lt;&gt;"✓",P17&lt;&gt;"",P17&lt;TODAY()),AND(S17&lt;&gt;"✓",R17&lt;&gt;"",R17&lt;TODAY()),AND(V17&lt;&gt;"✓",U17&lt;&gt;"",U17&lt;TODAY())),"遅延",IF(OR(AND(I17&lt;&gt;"✓",H17&lt;&gt;"",H17&lt;=TODAY()+7),AND(K17&lt;&gt;"✓",J17&lt;&gt;"",J17&lt;=TODAY()+7),AND(M17&lt;&gt;"✓",L17&lt;&gt;"",L17&lt;=TODAY()+7),AND(Q17&lt;&gt;"✓",P17&lt;&gt;"",P17&lt;=TODAY()+7),AND(S17&lt;&gt;"✓",R17&lt;&gt;"",R17&lt;=TODAY()+7),AND(V17&lt;&gt;"✓",U17&lt;&gt;"",U17&lt;=TODAY()+7)),"今週対応","進行中"))))</f>
        <v/>
      </c>
      <c r="Y17" s="13">
        <f>IF($A17="","",COUNTIFS(価格!$A$2:$A$251,$A17,価格!$B$2:$B$251,"PC"))</f>
        <v/>
      </c>
      <c r="Z17" s="13">
        <f>IF($A17="","",COUNTIFS(価格!$A$2:$A$251,$A17,価格!$B$2:$B$251,"オプション"))</f>
        <v/>
      </c>
      <c r="AA17" s="13">
        <f>IF($A17="","",COUNTIFS(価格!$A$2:$A$251,$A17)-COUNTIFS(価格!$A$2:$A$251,$A17,価格!$H$2:$H$251,"&gt;0",価格!$J$2:$J$251,"&gt;0"))</f>
        <v/>
      </c>
      <c r="AB17" s="14">
        <f>IF($A17="","",SUMIFS(価格!$N$2:$N$251,価格!$A$2:$A$251,$A17))</f>
        <v/>
      </c>
      <c r="AC17" s="6" t="n"/>
    </row>
    <row r="18">
      <c r="A18" s="6" t="n"/>
      <c r="B18" s="6" t="n"/>
      <c r="C18" s="6" t="n"/>
      <c r="D18" s="6" t="n"/>
      <c r="E18" s="8" t="n"/>
      <c r="F18" s="6" t="n"/>
      <c r="G18" s="6" t="n"/>
      <c r="H18" s="9" t="n"/>
      <c r="I18" s="10" t="n"/>
      <c r="J18" s="9" t="n"/>
      <c r="K18" s="10" t="n"/>
      <c r="L18" s="9" t="n"/>
      <c r="M18" s="10" t="n"/>
      <c r="N18" s="6" t="n"/>
      <c r="O18" s="9" t="n"/>
      <c r="P18" s="9" t="n"/>
      <c r="Q18" s="10" t="n"/>
      <c r="R18" s="9" t="n"/>
      <c r="S18" s="10" t="n"/>
      <c r="T18" s="6" t="n"/>
      <c r="U18" s="9" t="n"/>
      <c r="V18" s="10" t="n"/>
      <c r="W18" s="11">
        <f>IF($A18="","",(COUNTIF(I18,"✓")+ COUNTIF(K18,"✓")+ COUNTIF(M18,"✓")+ COUNTIF(Q18,"✓")+ COUNTIF(S18,"✓")+ COUNTIF(V18,"✓"))/6)</f>
        <v/>
      </c>
      <c r="X18" s="12">
        <f>IF($A18="","",IF(W18=1,"完了",IF(OR(AND(I18&lt;&gt;"✓",H18&lt;&gt;"",H18&lt;TODAY()),AND(K18&lt;&gt;"✓",J18&lt;&gt;"",J18&lt;TODAY()),AND(M18&lt;&gt;"✓",L18&lt;&gt;"",L18&lt;TODAY()),AND(Q18&lt;&gt;"✓",P18&lt;&gt;"",P18&lt;TODAY()),AND(S18&lt;&gt;"✓",R18&lt;&gt;"",R18&lt;TODAY()),AND(V18&lt;&gt;"✓",U18&lt;&gt;"",U18&lt;TODAY())),"遅延",IF(OR(AND(I18&lt;&gt;"✓",H18&lt;&gt;"",H18&lt;=TODAY()+7),AND(K18&lt;&gt;"✓",J18&lt;&gt;"",J18&lt;=TODAY()+7),AND(M18&lt;&gt;"✓",L18&lt;&gt;"",L18&lt;=TODAY()+7),AND(Q18&lt;&gt;"✓",P18&lt;&gt;"",P18&lt;=TODAY()+7),AND(S18&lt;&gt;"✓",R18&lt;&gt;"",R18&lt;=TODAY()+7),AND(V18&lt;&gt;"✓",U18&lt;&gt;"",U18&lt;=TODAY()+7)),"今週対応","進行中"))))</f>
        <v/>
      </c>
      <c r="Y18" s="13">
        <f>IF($A18="","",COUNTIFS(価格!$A$2:$A$251,$A18,価格!$B$2:$B$251,"PC"))</f>
        <v/>
      </c>
      <c r="Z18" s="13">
        <f>IF($A18="","",COUNTIFS(価格!$A$2:$A$251,$A18,価格!$B$2:$B$251,"オプション"))</f>
        <v/>
      </c>
      <c r="AA18" s="13">
        <f>IF($A18="","",COUNTIFS(価格!$A$2:$A$251,$A18)-COUNTIFS(価格!$A$2:$A$251,$A18,価格!$H$2:$H$251,"&gt;0",価格!$J$2:$J$251,"&gt;0"))</f>
        <v/>
      </c>
      <c r="AB18" s="14">
        <f>IF($A18="","",SUMIFS(価格!$N$2:$N$251,価格!$A$2:$A$251,$A18))</f>
        <v/>
      </c>
      <c r="AC18" s="6" t="n"/>
    </row>
    <row r="19">
      <c r="A19" s="6" t="n"/>
      <c r="B19" s="6" t="n"/>
      <c r="C19" s="6" t="n"/>
      <c r="D19" s="6" t="n"/>
      <c r="E19" s="8" t="n"/>
      <c r="F19" s="6" t="n"/>
      <c r="G19" s="6" t="n"/>
      <c r="H19" s="9" t="n"/>
      <c r="I19" s="10" t="n"/>
      <c r="J19" s="9" t="n"/>
      <c r="K19" s="10" t="n"/>
      <c r="L19" s="9" t="n"/>
      <c r="M19" s="10" t="n"/>
      <c r="N19" s="6" t="n"/>
      <c r="O19" s="9" t="n"/>
      <c r="P19" s="9" t="n"/>
      <c r="Q19" s="10" t="n"/>
      <c r="R19" s="9" t="n"/>
      <c r="S19" s="10" t="n"/>
      <c r="T19" s="6" t="n"/>
      <c r="U19" s="9" t="n"/>
      <c r="V19" s="10" t="n"/>
      <c r="W19" s="11">
        <f>IF($A19="","",(COUNTIF(I19,"✓")+ COUNTIF(K19,"✓")+ COUNTIF(M19,"✓")+ COUNTIF(Q19,"✓")+ COUNTIF(S19,"✓")+ COUNTIF(V19,"✓"))/6)</f>
        <v/>
      </c>
      <c r="X19" s="12">
        <f>IF($A19="","",IF(W19=1,"完了",IF(OR(AND(I19&lt;&gt;"✓",H19&lt;&gt;"",H19&lt;TODAY()),AND(K19&lt;&gt;"✓",J19&lt;&gt;"",J19&lt;TODAY()),AND(M19&lt;&gt;"✓",L19&lt;&gt;"",L19&lt;TODAY()),AND(Q19&lt;&gt;"✓",P19&lt;&gt;"",P19&lt;TODAY()),AND(S19&lt;&gt;"✓",R19&lt;&gt;"",R19&lt;TODAY()),AND(V19&lt;&gt;"✓",U19&lt;&gt;"",U19&lt;TODAY())),"遅延",IF(OR(AND(I19&lt;&gt;"✓",H19&lt;&gt;"",H19&lt;=TODAY()+7),AND(K19&lt;&gt;"✓",J19&lt;&gt;"",J19&lt;=TODAY()+7),AND(M19&lt;&gt;"✓",L19&lt;&gt;"",L19&lt;=TODAY()+7),AND(Q19&lt;&gt;"✓",P19&lt;&gt;"",P19&lt;=TODAY()+7),AND(S19&lt;&gt;"✓",R19&lt;&gt;"",R19&lt;=TODAY()+7),AND(V19&lt;&gt;"✓",U19&lt;&gt;"",U19&lt;=TODAY()+7)),"今週対応","進行中"))))</f>
        <v/>
      </c>
      <c r="Y19" s="13">
        <f>IF($A19="","",COUNTIFS(価格!$A$2:$A$251,$A19,価格!$B$2:$B$251,"PC"))</f>
        <v/>
      </c>
      <c r="Z19" s="13">
        <f>IF($A19="","",COUNTIFS(価格!$A$2:$A$251,$A19,価格!$B$2:$B$251,"オプション"))</f>
        <v/>
      </c>
      <c r="AA19" s="13">
        <f>IF($A19="","",COUNTIFS(価格!$A$2:$A$251,$A19)-COUNTIFS(価格!$A$2:$A$251,$A19,価格!$H$2:$H$251,"&gt;0",価格!$J$2:$J$251,"&gt;0"))</f>
        <v/>
      </c>
      <c r="AB19" s="14">
        <f>IF($A19="","",SUMIFS(価格!$N$2:$N$251,価格!$A$2:$A$251,$A19))</f>
        <v/>
      </c>
      <c r="AC19" s="6" t="n"/>
    </row>
    <row r="20">
      <c r="A20" s="6" t="n"/>
      <c r="B20" s="6" t="n"/>
      <c r="C20" s="6" t="n"/>
      <c r="D20" s="6" t="n"/>
      <c r="E20" s="8" t="n"/>
      <c r="F20" s="6" t="n"/>
      <c r="G20" s="6" t="n"/>
      <c r="H20" s="9" t="n"/>
      <c r="I20" s="10" t="n"/>
      <c r="J20" s="9" t="n"/>
      <c r="K20" s="10" t="n"/>
      <c r="L20" s="9" t="n"/>
      <c r="M20" s="10" t="n"/>
      <c r="N20" s="6" t="n"/>
      <c r="O20" s="9" t="n"/>
      <c r="P20" s="9" t="n"/>
      <c r="Q20" s="10" t="n"/>
      <c r="R20" s="9" t="n"/>
      <c r="S20" s="10" t="n"/>
      <c r="T20" s="6" t="n"/>
      <c r="U20" s="9" t="n"/>
      <c r="V20" s="10" t="n"/>
      <c r="W20" s="11">
        <f>IF($A20="","",(COUNTIF(I20,"✓")+ COUNTIF(K20,"✓")+ COUNTIF(M20,"✓")+ COUNTIF(Q20,"✓")+ COUNTIF(S20,"✓")+ COUNTIF(V20,"✓"))/6)</f>
        <v/>
      </c>
      <c r="X20" s="12">
        <f>IF($A20="","",IF(W20=1,"完了",IF(OR(AND(I20&lt;&gt;"✓",H20&lt;&gt;"",H20&lt;TODAY()),AND(K20&lt;&gt;"✓",J20&lt;&gt;"",J20&lt;TODAY()),AND(M20&lt;&gt;"✓",L20&lt;&gt;"",L20&lt;TODAY()),AND(Q20&lt;&gt;"✓",P20&lt;&gt;"",P20&lt;TODAY()),AND(S20&lt;&gt;"✓",R20&lt;&gt;"",R20&lt;TODAY()),AND(V20&lt;&gt;"✓",U20&lt;&gt;"",U20&lt;TODAY())),"遅延",IF(OR(AND(I20&lt;&gt;"✓",H20&lt;&gt;"",H20&lt;=TODAY()+7),AND(K20&lt;&gt;"✓",J20&lt;&gt;"",J20&lt;=TODAY()+7),AND(M20&lt;&gt;"✓",L20&lt;&gt;"",L20&lt;=TODAY()+7),AND(Q20&lt;&gt;"✓",P20&lt;&gt;"",P20&lt;=TODAY()+7),AND(S20&lt;&gt;"✓",R20&lt;&gt;"",R20&lt;=TODAY()+7),AND(V20&lt;&gt;"✓",U20&lt;&gt;"",U20&lt;=TODAY()+7)),"今週対応","進行中"))))</f>
        <v/>
      </c>
      <c r="Y20" s="13">
        <f>IF($A20="","",COUNTIFS(価格!$A$2:$A$251,$A20,価格!$B$2:$B$251,"PC"))</f>
        <v/>
      </c>
      <c r="Z20" s="13">
        <f>IF($A20="","",COUNTIFS(価格!$A$2:$A$251,$A20,価格!$B$2:$B$251,"オプション"))</f>
        <v/>
      </c>
      <c r="AA20" s="13">
        <f>IF($A20="","",COUNTIFS(価格!$A$2:$A$251,$A20)-COUNTIFS(価格!$A$2:$A$251,$A20,価格!$H$2:$H$251,"&gt;0",価格!$J$2:$J$251,"&gt;0"))</f>
        <v/>
      </c>
      <c r="AB20" s="14">
        <f>IF($A20="","",SUMIFS(価格!$N$2:$N$251,価格!$A$2:$A$251,$A20))</f>
        <v/>
      </c>
      <c r="AC20" s="6" t="n"/>
    </row>
    <row r="21">
      <c r="A21" s="6" t="n"/>
      <c r="B21" s="6" t="n"/>
      <c r="C21" s="6" t="n"/>
      <c r="D21" s="6" t="n"/>
      <c r="E21" s="8" t="n"/>
      <c r="F21" s="6" t="n"/>
      <c r="G21" s="6" t="n"/>
      <c r="H21" s="9" t="n"/>
      <c r="I21" s="10" t="n"/>
      <c r="J21" s="9" t="n"/>
      <c r="K21" s="10" t="n"/>
      <c r="L21" s="9" t="n"/>
      <c r="M21" s="10" t="n"/>
      <c r="N21" s="6" t="n"/>
      <c r="O21" s="9" t="n"/>
      <c r="P21" s="9" t="n"/>
      <c r="Q21" s="10" t="n"/>
      <c r="R21" s="9" t="n"/>
      <c r="S21" s="10" t="n"/>
      <c r="T21" s="6" t="n"/>
      <c r="U21" s="9" t="n"/>
      <c r="V21" s="10" t="n"/>
      <c r="W21" s="11">
        <f>IF($A21="","",(COUNTIF(I21,"✓")+ COUNTIF(K21,"✓")+ COUNTIF(M21,"✓")+ COUNTIF(Q21,"✓")+ COUNTIF(S21,"✓")+ COUNTIF(V21,"✓"))/6)</f>
        <v/>
      </c>
      <c r="X21" s="12">
        <f>IF($A21="","",IF(W21=1,"完了",IF(OR(AND(I21&lt;&gt;"✓",H21&lt;&gt;"",H21&lt;TODAY()),AND(K21&lt;&gt;"✓",J21&lt;&gt;"",J21&lt;TODAY()),AND(M21&lt;&gt;"✓",L21&lt;&gt;"",L21&lt;TODAY()),AND(Q21&lt;&gt;"✓",P21&lt;&gt;"",P21&lt;TODAY()),AND(S21&lt;&gt;"✓",R21&lt;&gt;"",R21&lt;TODAY()),AND(V21&lt;&gt;"✓",U21&lt;&gt;"",U21&lt;TODAY())),"遅延",IF(OR(AND(I21&lt;&gt;"✓",H21&lt;&gt;"",H21&lt;=TODAY()+7),AND(K21&lt;&gt;"✓",J21&lt;&gt;"",J21&lt;=TODAY()+7),AND(M21&lt;&gt;"✓",L21&lt;&gt;"",L21&lt;=TODAY()+7),AND(Q21&lt;&gt;"✓",P21&lt;&gt;"",P21&lt;=TODAY()+7),AND(S21&lt;&gt;"✓",R21&lt;&gt;"",R21&lt;=TODAY()+7),AND(V21&lt;&gt;"✓",U21&lt;&gt;"",U21&lt;=TODAY()+7)),"今週対応","進行中"))))</f>
        <v/>
      </c>
      <c r="Y21" s="13">
        <f>IF($A21="","",COUNTIFS(価格!$A$2:$A$251,$A21,価格!$B$2:$B$251,"PC"))</f>
        <v/>
      </c>
      <c r="Z21" s="13">
        <f>IF($A21="","",COUNTIFS(価格!$A$2:$A$251,$A21,価格!$B$2:$B$251,"オプション"))</f>
        <v/>
      </c>
      <c r="AA21" s="13">
        <f>IF($A21="","",COUNTIFS(価格!$A$2:$A$251,$A21)-COUNTIFS(価格!$A$2:$A$251,$A21,価格!$H$2:$H$251,"&gt;0",価格!$J$2:$J$251,"&gt;0"))</f>
        <v/>
      </c>
      <c r="AB21" s="14">
        <f>IF($A21="","",SUMIFS(価格!$N$2:$N$251,価格!$A$2:$A$251,$A21))</f>
        <v/>
      </c>
      <c r="AC21" s="6" t="n"/>
    </row>
    <row r="22">
      <c r="A22" s="6" t="n"/>
      <c r="B22" s="6" t="n"/>
      <c r="C22" s="6" t="n"/>
      <c r="D22" s="6" t="n"/>
      <c r="E22" s="8" t="n"/>
      <c r="F22" s="6" t="n"/>
      <c r="G22" s="6" t="n"/>
      <c r="H22" s="9" t="n"/>
      <c r="I22" s="10" t="n"/>
      <c r="J22" s="9" t="n"/>
      <c r="K22" s="10" t="n"/>
      <c r="L22" s="9" t="n"/>
      <c r="M22" s="10" t="n"/>
      <c r="N22" s="6" t="n"/>
      <c r="O22" s="9" t="n"/>
      <c r="P22" s="9" t="n"/>
      <c r="Q22" s="10" t="n"/>
      <c r="R22" s="9" t="n"/>
      <c r="S22" s="10" t="n"/>
      <c r="T22" s="6" t="n"/>
      <c r="U22" s="9" t="n"/>
      <c r="V22" s="10" t="n"/>
      <c r="W22" s="11">
        <f>IF($A22="","",(COUNTIF(I22,"✓")+ COUNTIF(K22,"✓")+ COUNTIF(M22,"✓")+ COUNTIF(Q22,"✓")+ COUNTIF(S22,"✓")+ COUNTIF(V22,"✓"))/6)</f>
        <v/>
      </c>
      <c r="X22" s="12">
        <f>IF($A22="","",IF(W22=1,"完了",IF(OR(AND(I22&lt;&gt;"✓",H22&lt;&gt;"",H22&lt;TODAY()),AND(K22&lt;&gt;"✓",J22&lt;&gt;"",J22&lt;TODAY()),AND(M22&lt;&gt;"✓",L22&lt;&gt;"",L22&lt;TODAY()),AND(Q22&lt;&gt;"✓",P22&lt;&gt;"",P22&lt;TODAY()),AND(S22&lt;&gt;"✓",R22&lt;&gt;"",R22&lt;TODAY()),AND(V22&lt;&gt;"✓",U22&lt;&gt;"",U22&lt;TODAY())),"遅延",IF(OR(AND(I22&lt;&gt;"✓",H22&lt;&gt;"",H22&lt;=TODAY()+7),AND(K22&lt;&gt;"✓",J22&lt;&gt;"",J22&lt;=TODAY()+7),AND(M22&lt;&gt;"✓",L22&lt;&gt;"",L22&lt;=TODAY()+7),AND(Q22&lt;&gt;"✓",P22&lt;&gt;"",P22&lt;=TODAY()+7),AND(S22&lt;&gt;"✓",R22&lt;&gt;"",R22&lt;=TODAY()+7),AND(V22&lt;&gt;"✓",U22&lt;&gt;"",U22&lt;=TODAY()+7)),"今週対応","進行中"))))</f>
        <v/>
      </c>
      <c r="Y22" s="13">
        <f>IF($A22="","",COUNTIFS(価格!$A$2:$A$251,$A22,価格!$B$2:$B$251,"PC"))</f>
        <v/>
      </c>
      <c r="Z22" s="13">
        <f>IF($A22="","",COUNTIFS(価格!$A$2:$A$251,$A22,価格!$B$2:$B$251,"オプション"))</f>
        <v/>
      </c>
      <c r="AA22" s="13">
        <f>IF($A22="","",COUNTIFS(価格!$A$2:$A$251,$A22)-COUNTIFS(価格!$A$2:$A$251,$A22,価格!$H$2:$H$251,"&gt;0",価格!$J$2:$J$251,"&gt;0"))</f>
        <v/>
      </c>
      <c r="AB22" s="14">
        <f>IF($A22="","",SUMIFS(価格!$N$2:$N$251,価格!$A$2:$A$251,$A22))</f>
        <v/>
      </c>
      <c r="AC22" s="6" t="n"/>
    </row>
    <row r="23">
      <c r="A23" s="6" t="n"/>
      <c r="B23" s="6" t="n"/>
      <c r="C23" s="6" t="n"/>
      <c r="D23" s="6" t="n"/>
      <c r="E23" s="8" t="n"/>
      <c r="F23" s="6" t="n"/>
      <c r="G23" s="6" t="n"/>
      <c r="H23" s="9" t="n"/>
      <c r="I23" s="10" t="n"/>
      <c r="J23" s="9" t="n"/>
      <c r="K23" s="10" t="n"/>
      <c r="L23" s="9" t="n"/>
      <c r="M23" s="10" t="n"/>
      <c r="N23" s="6" t="n"/>
      <c r="O23" s="9" t="n"/>
      <c r="P23" s="9" t="n"/>
      <c r="Q23" s="10" t="n"/>
      <c r="R23" s="9" t="n"/>
      <c r="S23" s="10" t="n"/>
      <c r="T23" s="6" t="n"/>
      <c r="U23" s="9" t="n"/>
      <c r="V23" s="10" t="n"/>
      <c r="W23" s="11">
        <f>IF($A23="","",(COUNTIF(I23,"✓")+ COUNTIF(K23,"✓")+ COUNTIF(M23,"✓")+ COUNTIF(Q23,"✓")+ COUNTIF(S23,"✓")+ COUNTIF(V23,"✓"))/6)</f>
        <v/>
      </c>
      <c r="X23" s="12">
        <f>IF($A23="","",IF(W23=1,"完了",IF(OR(AND(I23&lt;&gt;"✓",H23&lt;&gt;"",H23&lt;TODAY()),AND(K23&lt;&gt;"✓",J23&lt;&gt;"",J23&lt;TODAY()),AND(M23&lt;&gt;"✓",L23&lt;&gt;"",L23&lt;TODAY()),AND(Q23&lt;&gt;"✓",P23&lt;&gt;"",P23&lt;TODAY()),AND(S23&lt;&gt;"✓",R23&lt;&gt;"",R23&lt;TODAY()),AND(V23&lt;&gt;"✓",U23&lt;&gt;"",U23&lt;TODAY())),"遅延",IF(OR(AND(I23&lt;&gt;"✓",H23&lt;&gt;"",H23&lt;=TODAY()+7),AND(K23&lt;&gt;"✓",J23&lt;&gt;"",J23&lt;=TODAY()+7),AND(M23&lt;&gt;"✓",L23&lt;&gt;"",L23&lt;=TODAY()+7),AND(Q23&lt;&gt;"✓",P23&lt;&gt;"",P23&lt;=TODAY()+7),AND(S23&lt;&gt;"✓",R23&lt;&gt;"",R23&lt;=TODAY()+7),AND(V23&lt;&gt;"✓",U23&lt;&gt;"",U23&lt;=TODAY()+7)),"今週対応","進行中"))))</f>
        <v/>
      </c>
      <c r="Y23" s="13">
        <f>IF($A23="","",COUNTIFS(価格!$A$2:$A$251,$A23,価格!$B$2:$B$251,"PC"))</f>
        <v/>
      </c>
      <c r="Z23" s="13">
        <f>IF($A23="","",COUNTIFS(価格!$A$2:$A$251,$A23,価格!$B$2:$B$251,"オプション"))</f>
        <v/>
      </c>
      <c r="AA23" s="13">
        <f>IF($A23="","",COUNTIFS(価格!$A$2:$A$251,$A23)-COUNTIFS(価格!$A$2:$A$251,$A23,価格!$H$2:$H$251,"&gt;0",価格!$J$2:$J$251,"&gt;0"))</f>
        <v/>
      </c>
      <c r="AB23" s="14">
        <f>IF($A23="","",SUMIFS(価格!$N$2:$N$251,価格!$A$2:$A$251,$A23))</f>
        <v/>
      </c>
      <c r="AC23" s="6" t="n"/>
    </row>
    <row r="24">
      <c r="A24" s="6" t="n"/>
      <c r="B24" s="6" t="n"/>
      <c r="C24" s="6" t="n"/>
      <c r="D24" s="6" t="n"/>
      <c r="E24" s="8" t="n"/>
      <c r="F24" s="6" t="n"/>
      <c r="G24" s="6" t="n"/>
      <c r="H24" s="9" t="n"/>
      <c r="I24" s="10" t="n"/>
      <c r="J24" s="9" t="n"/>
      <c r="K24" s="10" t="n"/>
      <c r="L24" s="9" t="n"/>
      <c r="M24" s="10" t="n"/>
      <c r="N24" s="6" t="n"/>
      <c r="O24" s="9" t="n"/>
      <c r="P24" s="9" t="n"/>
      <c r="Q24" s="10" t="n"/>
      <c r="R24" s="9" t="n"/>
      <c r="S24" s="10" t="n"/>
      <c r="T24" s="6" t="n"/>
      <c r="U24" s="9" t="n"/>
      <c r="V24" s="10" t="n"/>
      <c r="W24" s="11">
        <f>IF($A24="","",(COUNTIF(I24,"✓")+ COUNTIF(K24,"✓")+ COUNTIF(M24,"✓")+ COUNTIF(Q24,"✓")+ COUNTIF(S24,"✓")+ COUNTIF(V24,"✓"))/6)</f>
        <v/>
      </c>
      <c r="X24" s="12">
        <f>IF($A24="","",IF(W24=1,"完了",IF(OR(AND(I24&lt;&gt;"✓",H24&lt;&gt;"",H24&lt;TODAY()),AND(K24&lt;&gt;"✓",J24&lt;&gt;"",J24&lt;TODAY()),AND(M24&lt;&gt;"✓",L24&lt;&gt;"",L24&lt;TODAY()),AND(Q24&lt;&gt;"✓",P24&lt;&gt;"",P24&lt;TODAY()),AND(S24&lt;&gt;"✓",R24&lt;&gt;"",R24&lt;TODAY()),AND(V24&lt;&gt;"✓",U24&lt;&gt;"",U24&lt;TODAY())),"遅延",IF(OR(AND(I24&lt;&gt;"✓",H24&lt;&gt;"",H24&lt;=TODAY()+7),AND(K24&lt;&gt;"✓",J24&lt;&gt;"",J24&lt;=TODAY()+7),AND(M24&lt;&gt;"✓",L24&lt;&gt;"",L24&lt;=TODAY()+7),AND(Q24&lt;&gt;"✓",P24&lt;&gt;"",P24&lt;=TODAY()+7),AND(S24&lt;&gt;"✓",R24&lt;&gt;"",R24&lt;=TODAY()+7),AND(V24&lt;&gt;"✓",U24&lt;&gt;"",U24&lt;=TODAY()+7)),"今週対応","進行中"))))</f>
        <v/>
      </c>
      <c r="Y24" s="13">
        <f>IF($A24="","",COUNTIFS(価格!$A$2:$A$251,$A24,価格!$B$2:$B$251,"PC"))</f>
        <v/>
      </c>
      <c r="Z24" s="13">
        <f>IF($A24="","",COUNTIFS(価格!$A$2:$A$251,$A24,価格!$B$2:$B$251,"オプション"))</f>
        <v/>
      </c>
      <c r="AA24" s="13">
        <f>IF($A24="","",COUNTIFS(価格!$A$2:$A$251,$A24)-COUNTIFS(価格!$A$2:$A$251,$A24,価格!$H$2:$H$251,"&gt;0",価格!$J$2:$J$251,"&gt;0"))</f>
        <v/>
      </c>
      <c r="AB24" s="14">
        <f>IF($A24="","",SUMIFS(価格!$N$2:$N$251,価格!$A$2:$A$251,$A24))</f>
        <v/>
      </c>
      <c r="AC24" s="6" t="n"/>
    </row>
    <row r="25">
      <c r="A25" s="6" t="n"/>
      <c r="B25" s="6" t="n"/>
      <c r="C25" s="6" t="n"/>
      <c r="D25" s="6" t="n"/>
      <c r="E25" s="8" t="n"/>
      <c r="F25" s="6" t="n"/>
      <c r="G25" s="6" t="n"/>
      <c r="H25" s="9" t="n"/>
      <c r="I25" s="10" t="n"/>
      <c r="J25" s="9" t="n"/>
      <c r="K25" s="10" t="n"/>
      <c r="L25" s="9" t="n"/>
      <c r="M25" s="10" t="n"/>
      <c r="N25" s="6" t="n"/>
      <c r="O25" s="9" t="n"/>
      <c r="P25" s="9" t="n"/>
      <c r="Q25" s="10" t="n"/>
      <c r="R25" s="9" t="n"/>
      <c r="S25" s="10" t="n"/>
      <c r="T25" s="6" t="n"/>
      <c r="U25" s="9" t="n"/>
      <c r="V25" s="10" t="n"/>
      <c r="W25" s="11">
        <f>IF($A25="","",(COUNTIF(I25,"✓")+ COUNTIF(K25,"✓")+ COUNTIF(M25,"✓")+ COUNTIF(Q25,"✓")+ COUNTIF(S25,"✓")+ COUNTIF(V25,"✓"))/6)</f>
        <v/>
      </c>
      <c r="X25" s="12">
        <f>IF($A25="","",IF(W25=1,"完了",IF(OR(AND(I25&lt;&gt;"✓",H25&lt;&gt;"",H25&lt;TODAY()),AND(K25&lt;&gt;"✓",J25&lt;&gt;"",J25&lt;TODAY()),AND(M25&lt;&gt;"✓",L25&lt;&gt;"",L25&lt;TODAY()),AND(Q25&lt;&gt;"✓",P25&lt;&gt;"",P25&lt;TODAY()),AND(S25&lt;&gt;"✓",R25&lt;&gt;"",R25&lt;TODAY()),AND(V25&lt;&gt;"✓",U25&lt;&gt;"",U25&lt;TODAY())),"遅延",IF(OR(AND(I25&lt;&gt;"✓",H25&lt;&gt;"",H25&lt;=TODAY()+7),AND(K25&lt;&gt;"✓",J25&lt;&gt;"",J25&lt;=TODAY()+7),AND(M25&lt;&gt;"✓",L25&lt;&gt;"",L25&lt;=TODAY()+7),AND(Q25&lt;&gt;"✓",P25&lt;&gt;"",P25&lt;=TODAY()+7),AND(S25&lt;&gt;"✓",R25&lt;&gt;"",R25&lt;=TODAY()+7),AND(V25&lt;&gt;"✓",U25&lt;&gt;"",U25&lt;=TODAY()+7)),"今週対応","進行中"))))</f>
        <v/>
      </c>
      <c r="Y25" s="13">
        <f>IF($A25="","",COUNTIFS(価格!$A$2:$A$251,$A25,価格!$B$2:$B$251,"PC"))</f>
        <v/>
      </c>
      <c r="Z25" s="13">
        <f>IF($A25="","",COUNTIFS(価格!$A$2:$A$251,$A25,価格!$B$2:$B$251,"オプション"))</f>
        <v/>
      </c>
      <c r="AA25" s="13">
        <f>IF($A25="","",COUNTIFS(価格!$A$2:$A$251,$A25)-COUNTIFS(価格!$A$2:$A$251,$A25,価格!$H$2:$H$251,"&gt;0",価格!$J$2:$J$251,"&gt;0"))</f>
        <v/>
      </c>
      <c r="AB25" s="14">
        <f>IF($A25="","",SUMIFS(価格!$N$2:$N$251,価格!$A$2:$A$251,$A25))</f>
        <v/>
      </c>
      <c r="AC25" s="6" t="n"/>
    </row>
    <row r="26">
      <c r="A26" s="6" t="n"/>
      <c r="B26" s="6" t="n"/>
      <c r="C26" s="6" t="n"/>
      <c r="D26" s="6" t="n"/>
      <c r="E26" s="8" t="n"/>
      <c r="F26" s="6" t="n"/>
      <c r="G26" s="6" t="n"/>
      <c r="H26" s="9" t="n"/>
      <c r="I26" s="10" t="n"/>
      <c r="J26" s="9" t="n"/>
      <c r="K26" s="10" t="n"/>
      <c r="L26" s="9" t="n"/>
      <c r="M26" s="10" t="n"/>
      <c r="N26" s="6" t="n"/>
      <c r="O26" s="9" t="n"/>
      <c r="P26" s="9" t="n"/>
      <c r="Q26" s="10" t="n"/>
      <c r="R26" s="9" t="n"/>
      <c r="S26" s="10" t="n"/>
      <c r="T26" s="6" t="n"/>
      <c r="U26" s="9" t="n"/>
      <c r="V26" s="10" t="n"/>
      <c r="W26" s="11">
        <f>IF($A26="","",(COUNTIF(I26,"✓")+ COUNTIF(K26,"✓")+ COUNTIF(M26,"✓")+ COUNTIF(Q26,"✓")+ COUNTIF(S26,"✓")+ COUNTIF(V26,"✓"))/6)</f>
        <v/>
      </c>
      <c r="X26" s="12">
        <f>IF($A26="","",IF(W26=1,"完了",IF(OR(AND(I26&lt;&gt;"✓",H26&lt;&gt;"",H26&lt;TODAY()),AND(K26&lt;&gt;"✓",J26&lt;&gt;"",J26&lt;TODAY()),AND(M26&lt;&gt;"✓",L26&lt;&gt;"",L26&lt;TODAY()),AND(Q26&lt;&gt;"✓",P26&lt;&gt;"",P26&lt;TODAY()),AND(S26&lt;&gt;"✓",R26&lt;&gt;"",R26&lt;TODAY()),AND(V26&lt;&gt;"✓",U26&lt;&gt;"",U26&lt;TODAY())),"遅延",IF(OR(AND(I26&lt;&gt;"✓",H26&lt;&gt;"",H26&lt;=TODAY()+7),AND(K26&lt;&gt;"✓",J26&lt;&gt;"",J26&lt;=TODAY()+7),AND(M26&lt;&gt;"✓",L26&lt;&gt;"",L26&lt;=TODAY()+7),AND(Q26&lt;&gt;"✓",P26&lt;&gt;"",P26&lt;=TODAY()+7),AND(S26&lt;&gt;"✓",R26&lt;&gt;"",R26&lt;=TODAY()+7),AND(V26&lt;&gt;"✓",U26&lt;&gt;"",U26&lt;=TODAY()+7)),"今週対応","進行中"))))</f>
        <v/>
      </c>
      <c r="Y26" s="13">
        <f>IF($A26="","",COUNTIFS(価格!$A$2:$A$251,$A26,価格!$B$2:$B$251,"PC"))</f>
        <v/>
      </c>
      <c r="Z26" s="13">
        <f>IF($A26="","",COUNTIFS(価格!$A$2:$A$251,$A26,価格!$B$2:$B$251,"オプション"))</f>
        <v/>
      </c>
      <c r="AA26" s="13">
        <f>IF($A26="","",COUNTIFS(価格!$A$2:$A$251,$A26)-COUNTIFS(価格!$A$2:$A$251,$A26,価格!$H$2:$H$251,"&gt;0",価格!$J$2:$J$251,"&gt;0"))</f>
        <v/>
      </c>
      <c r="AB26" s="14">
        <f>IF($A26="","",SUMIFS(価格!$N$2:$N$251,価格!$A$2:$A$251,$A26))</f>
        <v/>
      </c>
      <c r="AC26" s="6" t="n"/>
    </row>
    <row r="27">
      <c r="A27" s="6" t="n"/>
      <c r="B27" s="6" t="n"/>
      <c r="C27" s="6" t="n"/>
      <c r="D27" s="6" t="n"/>
      <c r="E27" s="8" t="n"/>
      <c r="F27" s="6" t="n"/>
      <c r="G27" s="6" t="n"/>
      <c r="H27" s="9" t="n"/>
      <c r="I27" s="10" t="n"/>
      <c r="J27" s="9" t="n"/>
      <c r="K27" s="10" t="n"/>
      <c r="L27" s="9" t="n"/>
      <c r="M27" s="10" t="n"/>
      <c r="N27" s="6" t="n"/>
      <c r="O27" s="9" t="n"/>
      <c r="P27" s="9" t="n"/>
      <c r="Q27" s="10" t="n"/>
      <c r="R27" s="9" t="n"/>
      <c r="S27" s="10" t="n"/>
      <c r="T27" s="6" t="n"/>
      <c r="U27" s="9" t="n"/>
      <c r="V27" s="10" t="n"/>
      <c r="W27" s="11">
        <f>IF($A27="","",(COUNTIF(I27,"✓")+ COUNTIF(K27,"✓")+ COUNTIF(M27,"✓")+ COUNTIF(Q27,"✓")+ COUNTIF(S27,"✓")+ COUNTIF(V27,"✓"))/6)</f>
        <v/>
      </c>
      <c r="X27" s="12">
        <f>IF($A27="","",IF(W27=1,"完了",IF(OR(AND(I27&lt;&gt;"✓",H27&lt;&gt;"",H27&lt;TODAY()),AND(K27&lt;&gt;"✓",J27&lt;&gt;"",J27&lt;TODAY()),AND(M27&lt;&gt;"✓",L27&lt;&gt;"",L27&lt;TODAY()),AND(Q27&lt;&gt;"✓",P27&lt;&gt;"",P27&lt;TODAY()),AND(S27&lt;&gt;"✓",R27&lt;&gt;"",R27&lt;TODAY()),AND(V27&lt;&gt;"✓",U27&lt;&gt;"",U27&lt;TODAY())),"遅延",IF(OR(AND(I27&lt;&gt;"✓",H27&lt;&gt;"",H27&lt;=TODAY()+7),AND(K27&lt;&gt;"✓",J27&lt;&gt;"",J27&lt;=TODAY()+7),AND(M27&lt;&gt;"✓",L27&lt;&gt;"",L27&lt;=TODAY()+7),AND(Q27&lt;&gt;"✓",P27&lt;&gt;"",P27&lt;=TODAY()+7),AND(S27&lt;&gt;"✓",R27&lt;&gt;"",R27&lt;=TODAY()+7),AND(V27&lt;&gt;"✓",U27&lt;&gt;"",U27&lt;=TODAY()+7)),"今週対応","進行中"))))</f>
        <v/>
      </c>
      <c r="Y27" s="13">
        <f>IF($A27="","",COUNTIFS(価格!$A$2:$A$251,$A27,価格!$B$2:$B$251,"PC"))</f>
        <v/>
      </c>
      <c r="Z27" s="13">
        <f>IF($A27="","",COUNTIFS(価格!$A$2:$A$251,$A27,価格!$B$2:$B$251,"オプション"))</f>
        <v/>
      </c>
      <c r="AA27" s="13">
        <f>IF($A27="","",COUNTIFS(価格!$A$2:$A$251,$A27)-COUNTIFS(価格!$A$2:$A$251,$A27,価格!$H$2:$H$251,"&gt;0",価格!$J$2:$J$251,"&gt;0"))</f>
        <v/>
      </c>
      <c r="AB27" s="14">
        <f>IF($A27="","",SUMIFS(価格!$N$2:$N$251,価格!$A$2:$A$251,$A27))</f>
        <v/>
      </c>
      <c r="AC27" s="6" t="n"/>
    </row>
    <row r="28">
      <c r="A28" s="6" t="n"/>
      <c r="B28" s="6" t="n"/>
      <c r="C28" s="6" t="n"/>
      <c r="D28" s="6" t="n"/>
      <c r="E28" s="8" t="n"/>
      <c r="F28" s="6" t="n"/>
      <c r="G28" s="6" t="n"/>
      <c r="H28" s="9" t="n"/>
      <c r="I28" s="10" t="n"/>
      <c r="J28" s="9" t="n"/>
      <c r="K28" s="10" t="n"/>
      <c r="L28" s="9" t="n"/>
      <c r="M28" s="10" t="n"/>
      <c r="N28" s="6" t="n"/>
      <c r="O28" s="9" t="n"/>
      <c r="P28" s="9" t="n"/>
      <c r="Q28" s="10" t="n"/>
      <c r="R28" s="9" t="n"/>
      <c r="S28" s="10" t="n"/>
      <c r="T28" s="6" t="n"/>
      <c r="U28" s="9" t="n"/>
      <c r="V28" s="10" t="n"/>
      <c r="W28" s="11">
        <f>IF($A28="","",(COUNTIF(I28,"✓")+ COUNTIF(K28,"✓")+ COUNTIF(M28,"✓")+ COUNTIF(Q28,"✓")+ COUNTIF(S28,"✓")+ COUNTIF(V28,"✓"))/6)</f>
        <v/>
      </c>
      <c r="X28" s="12">
        <f>IF($A28="","",IF(W28=1,"完了",IF(OR(AND(I28&lt;&gt;"✓",H28&lt;&gt;"",H28&lt;TODAY()),AND(K28&lt;&gt;"✓",J28&lt;&gt;"",J28&lt;TODAY()),AND(M28&lt;&gt;"✓",L28&lt;&gt;"",L28&lt;TODAY()),AND(Q28&lt;&gt;"✓",P28&lt;&gt;"",P28&lt;TODAY()),AND(S28&lt;&gt;"✓",R28&lt;&gt;"",R28&lt;TODAY()),AND(V28&lt;&gt;"✓",U28&lt;&gt;"",U28&lt;TODAY())),"遅延",IF(OR(AND(I28&lt;&gt;"✓",H28&lt;&gt;"",H28&lt;=TODAY()+7),AND(K28&lt;&gt;"✓",J28&lt;&gt;"",J28&lt;=TODAY()+7),AND(M28&lt;&gt;"✓",L28&lt;&gt;"",L28&lt;=TODAY()+7),AND(Q28&lt;&gt;"✓",P28&lt;&gt;"",P28&lt;=TODAY()+7),AND(S28&lt;&gt;"✓",R28&lt;&gt;"",R28&lt;=TODAY()+7),AND(V28&lt;&gt;"✓",U28&lt;&gt;"",U28&lt;=TODAY()+7)),"今週対応","進行中"))))</f>
        <v/>
      </c>
      <c r="Y28" s="13">
        <f>IF($A28="","",COUNTIFS(価格!$A$2:$A$251,$A28,価格!$B$2:$B$251,"PC"))</f>
        <v/>
      </c>
      <c r="Z28" s="13">
        <f>IF($A28="","",COUNTIFS(価格!$A$2:$A$251,$A28,価格!$B$2:$B$251,"オプション"))</f>
        <v/>
      </c>
      <c r="AA28" s="13">
        <f>IF($A28="","",COUNTIFS(価格!$A$2:$A$251,$A28)-COUNTIFS(価格!$A$2:$A$251,$A28,価格!$H$2:$H$251,"&gt;0",価格!$J$2:$J$251,"&gt;0"))</f>
        <v/>
      </c>
      <c r="AB28" s="14">
        <f>IF($A28="","",SUMIFS(価格!$N$2:$N$251,価格!$A$2:$A$251,$A28))</f>
        <v/>
      </c>
      <c r="AC28" s="6" t="n"/>
    </row>
    <row r="29">
      <c r="A29" s="6" t="n"/>
      <c r="B29" s="6" t="n"/>
      <c r="C29" s="6" t="n"/>
      <c r="D29" s="6" t="n"/>
      <c r="E29" s="8" t="n"/>
      <c r="F29" s="6" t="n"/>
      <c r="G29" s="6" t="n"/>
      <c r="H29" s="9" t="n"/>
      <c r="I29" s="10" t="n"/>
      <c r="J29" s="9" t="n"/>
      <c r="K29" s="10" t="n"/>
      <c r="L29" s="9" t="n"/>
      <c r="M29" s="10" t="n"/>
      <c r="N29" s="6" t="n"/>
      <c r="O29" s="9" t="n"/>
      <c r="P29" s="9" t="n"/>
      <c r="Q29" s="10" t="n"/>
      <c r="R29" s="9" t="n"/>
      <c r="S29" s="10" t="n"/>
      <c r="T29" s="6" t="n"/>
      <c r="U29" s="9" t="n"/>
      <c r="V29" s="10" t="n"/>
      <c r="W29" s="11">
        <f>IF($A29="","",(COUNTIF(I29,"✓")+ COUNTIF(K29,"✓")+ COUNTIF(M29,"✓")+ COUNTIF(Q29,"✓")+ COUNTIF(S29,"✓")+ COUNTIF(V29,"✓"))/6)</f>
        <v/>
      </c>
      <c r="X29" s="12">
        <f>IF($A29="","",IF(W29=1,"完了",IF(OR(AND(I29&lt;&gt;"✓",H29&lt;&gt;"",H29&lt;TODAY()),AND(K29&lt;&gt;"✓",J29&lt;&gt;"",J29&lt;TODAY()),AND(M29&lt;&gt;"✓",L29&lt;&gt;"",L29&lt;TODAY()),AND(Q29&lt;&gt;"✓",P29&lt;&gt;"",P29&lt;TODAY()),AND(S29&lt;&gt;"✓",R29&lt;&gt;"",R29&lt;TODAY()),AND(V29&lt;&gt;"✓",U29&lt;&gt;"",U29&lt;TODAY())),"遅延",IF(OR(AND(I29&lt;&gt;"✓",H29&lt;&gt;"",H29&lt;=TODAY()+7),AND(K29&lt;&gt;"✓",J29&lt;&gt;"",J29&lt;=TODAY()+7),AND(M29&lt;&gt;"✓",L29&lt;&gt;"",L29&lt;=TODAY()+7),AND(Q29&lt;&gt;"✓",P29&lt;&gt;"",P29&lt;=TODAY()+7),AND(S29&lt;&gt;"✓",R29&lt;&gt;"",R29&lt;=TODAY()+7),AND(V29&lt;&gt;"✓",U29&lt;&gt;"",U29&lt;=TODAY()+7)),"今週対応","進行中"))))</f>
        <v/>
      </c>
      <c r="Y29" s="13">
        <f>IF($A29="","",COUNTIFS(価格!$A$2:$A$251,$A29,価格!$B$2:$B$251,"PC"))</f>
        <v/>
      </c>
      <c r="Z29" s="13">
        <f>IF($A29="","",COUNTIFS(価格!$A$2:$A$251,$A29,価格!$B$2:$B$251,"オプション"))</f>
        <v/>
      </c>
      <c r="AA29" s="13">
        <f>IF($A29="","",COUNTIFS(価格!$A$2:$A$251,$A29)-COUNTIFS(価格!$A$2:$A$251,$A29,価格!$H$2:$H$251,"&gt;0",価格!$J$2:$J$251,"&gt;0"))</f>
        <v/>
      </c>
      <c r="AB29" s="14">
        <f>IF($A29="","",SUMIFS(価格!$N$2:$N$251,価格!$A$2:$A$251,$A29))</f>
        <v/>
      </c>
      <c r="AC29" s="6" t="n"/>
    </row>
    <row r="30">
      <c r="A30" s="6" t="n"/>
      <c r="B30" s="6" t="n"/>
      <c r="C30" s="6" t="n"/>
      <c r="D30" s="6" t="n"/>
      <c r="E30" s="8" t="n"/>
      <c r="F30" s="6" t="n"/>
      <c r="G30" s="6" t="n"/>
      <c r="H30" s="9" t="n"/>
      <c r="I30" s="10" t="n"/>
      <c r="J30" s="9" t="n"/>
      <c r="K30" s="10" t="n"/>
      <c r="L30" s="9" t="n"/>
      <c r="M30" s="10" t="n"/>
      <c r="N30" s="6" t="n"/>
      <c r="O30" s="9" t="n"/>
      <c r="P30" s="9" t="n"/>
      <c r="Q30" s="10" t="n"/>
      <c r="R30" s="9" t="n"/>
      <c r="S30" s="10" t="n"/>
      <c r="T30" s="6" t="n"/>
      <c r="U30" s="9" t="n"/>
      <c r="V30" s="10" t="n"/>
      <c r="W30" s="11">
        <f>IF($A30="","",(COUNTIF(I30,"✓")+ COUNTIF(K30,"✓")+ COUNTIF(M30,"✓")+ COUNTIF(Q30,"✓")+ COUNTIF(S30,"✓")+ COUNTIF(V30,"✓"))/6)</f>
        <v/>
      </c>
      <c r="X30" s="12">
        <f>IF($A30="","",IF(W30=1,"完了",IF(OR(AND(I30&lt;&gt;"✓",H30&lt;&gt;"",H30&lt;TODAY()),AND(K30&lt;&gt;"✓",J30&lt;&gt;"",J30&lt;TODAY()),AND(M30&lt;&gt;"✓",L30&lt;&gt;"",L30&lt;TODAY()),AND(Q30&lt;&gt;"✓",P30&lt;&gt;"",P30&lt;TODAY()),AND(S30&lt;&gt;"✓",R30&lt;&gt;"",R30&lt;TODAY()),AND(V30&lt;&gt;"✓",U30&lt;&gt;"",U30&lt;TODAY())),"遅延",IF(OR(AND(I30&lt;&gt;"✓",H30&lt;&gt;"",H30&lt;=TODAY()+7),AND(K30&lt;&gt;"✓",J30&lt;&gt;"",J30&lt;=TODAY()+7),AND(M30&lt;&gt;"✓",L30&lt;&gt;"",L30&lt;=TODAY()+7),AND(Q30&lt;&gt;"✓",P30&lt;&gt;"",P30&lt;=TODAY()+7),AND(S30&lt;&gt;"✓",R30&lt;&gt;"",R30&lt;=TODAY()+7),AND(V30&lt;&gt;"✓",U30&lt;&gt;"",U30&lt;=TODAY()+7)),"今週対応","進行中"))))</f>
        <v/>
      </c>
      <c r="Y30" s="13">
        <f>IF($A30="","",COUNTIFS(価格!$A$2:$A$251,$A30,価格!$B$2:$B$251,"PC"))</f>
        <v/>
      </c>
      <c r="Z30" s="13">
        <f>IF($A30="","",COUNTIFS(価格!$A$2:$A$251,$A30,価格!$B$2:$B$251,"オプション"))</f>
        <v/>
      </c>
      <c r="AA30" s="13">
        <f>IF($A30="","",COUNTIFS(価格!$A$2:$A$251,$A30)-COUNTIFS(価格!$A$2:$A$251,$A30,価格!$H$2:$H$251,"&gt;0",価格!$J$2:$J$251,"&gt;0"))</f>
        <v/>
      </c>
      <c r="AB30" s="14">
        <f>IF($A30="","",SUMIFS(価格!$N$2:$N$251,価格!$A$2:$A$251,$A30))</f>
        <v/>
      </c>
      <c r="AC30" s="6" t="n"/>
    </row>
    <row r="31">
      <c r="A31" s="6" t="n"/>
      <c r="B31" s="6" t="n"/>
      <c r="C31" s="6" t="n"/>
      <c r="D31" s="6" t="n"/>
      <c r="E31" s="8" t="n"/>
      <c r="F31" s="6" t="n"/>
      <c r="G31" s="6" t="n"/>
      <c r="H31" s="9" t="n"/>
      <c r="I31" s="10" t="n"/>
      <c r="J31" s="9" t="n"/>
      <c r="K31" s="10" t="n"/>
      <c r="L31" s="9" t="n"/>
      <c r="M31" s="10" t="n"/>
      <c r="N31" s="6" t="n"/>
      <c r="O31" s="9" t="n"/>
      <c r="P31" s="9" t="n"/>
      <c r="Q31" s="10" t="n"/>
      <c r="R31" s="9" t="n"/>
      <c r="S31" s="10" t="n"/>
      <c r="T31" s="6" t="n"/>
      <c r="U31" s="9" t="n"/>
      <c r="V31" s="10" t="n"/>
      <c r="W31" s="11">
        <f>IF($A31="","",(COUNTIF(I31,"✓")+ COUNTIF(K31,"✓")+ COUNTIF(M31,"✓")+ COUNTIF(Q31,"✓")+ COUNTIF(S31,"✓")+ COUNTIF(V31,"✓"))/6)</f>
        <v/>
      </c>
      <c r="X31" s="12">
        <f>IF($A31="","",IF(W31=1,"完了",IF(OR(AND(I31&lt;&gt;"✓",H31&lt;&gt;"",H31&lt;TODAY()),AND(K31&lt;&gt;"✓",J31&lt;&gt;"",J31&lt;TODAY()),AND(M31&lt;&gt;"✓",L31&lt;&gt;"",L31&lt;TODAY()),AND(Q31&lt;&gt;"✓",P31&lt;&gt;"",P31&lt;TODAY()),AND(S31&lt;&gt;"✓",R31&lt;&gt;"",R31&lt;TODAY()),AND(V31&lt;&gt;"✓",U31&lt;&gt;"",U31&lt;TODAY())),"遅延",IF(OR(AND(I31&lt;&gt;"✓",H31&lt;&gt;"",H31&lt;=TODAY()+7),AND(K31&lt;&gt;"✓",J31&lt;&gt;"",J31&lt;=TODAY()+7),AND(M31&lt;&gt;"✓",L31&lt;&gt;"",L31&lt;=TODAY()+7),AND(Q31&lt;&gt;"✓",P31&lt;&gt;"",P31&lt;=TODAY()+7),AND(S31&lt;&gt;"✓",R31&lt;&gt;"",R31&lt;=TODAY()+7),AND(V31&lt;&gt;"✓",U31&lt;&gt;"",U31&lt;=TODAY()+7)),"今週対応","進行中"))))</f>
        <v/>
      </c>
      <c r="Y31" s="13">
        <f>IF($A31="","",COUNTIFS(価格!$A$2:$A$251,$A31,価格!$B$2:$B$251,"PC"))</f>
        <v/>
      </c>
      <c r="Z31" s="13">
        <f>IF($A31="","",COUNTIFS(価格!$A$2:$A$251,$A31,価格!$B$2:$B$251,"オプション"))</f>
        <v/>
      </c>
      <c r="AA31" s="13">
        <f>IF($A31="","",COUNTIFS(価格!$A$2:$A$251,$A31)-COUNTIFS(価格!$A$2:$A$251,$A31,価格!$H$2:$H$251,"&gt;0",価格!$J$2:$J$251,"&gt;0"))</f>
        <v/>
      </c>
      <c r="AB31" s="14">
        <f>IF($A31="","",SUMIFS(価格!$N$2:$N$251,価格!$A$2:$A$251,$A31))</f>
        <v/>
      </c>
      <c r="AC31" s="6" t="n"/>
    </row>
    <row r="32">
      <c r="A32" s="6" t="n"/>
      <c r="B32" s="6" t="n"/>
      <c r="C32" s="6" t="n"/>
      <c r="D32" s="6" t="n"/>
      <c r="E32" s="8" t="n"/>
      <c r="F32" s="6" t="n"/>
      <c r="G32" s="6" t="n"/>
      <c r="H32" s="9" t="n"/>
      <c r="I32" s="10" t="n"/>
      <c r="J32" s="9" t="n"/>
      <c r="K32" s="10" t="n"/>
      <c r="L32" s="9" t="n"/>
      <c r="M32" s="10" t="n"/>
      <c r="N32" s="6" t="n"/>
      <c r="O32" s="9" t="n"/>
      <c r="P32" s="9" t="n"/>
      <c r="Q32" s="10" t="n"/>
      <c r="R32" s="9" t="n"/>
      <c r="S32" s="10" t="n"/>
      <c r="T32" s="6" t="n"/>
      <c r="U32" s="9" t="n"/>
      <c r="V32" s="10" t="n"/>
      <c r="W32" s="11">
        <f>IF($A32="","",(COUNTIF(I32,"✓")+ COUNTIF(K32,"✓")+ COUNTIF(M32,"✓")+ COUNTIF(Q32,"✓")+ COUNTIF(S32,"✓")+ COUNTIF(V32,"✓"))/6)</f>
        <v/>
      </c>
      <c r="X32" s="12">
        <f>IF($A32="","",IF(W32=1,"完了",IF(OR(AND(I32&lt;&gt;"✓",H32&lt;&gt;"",H32&lt;TODAY()),AND(K32&lt;&gt;"✓",J32&lt;&gt;"",J32&lt;TODAY()),AND(M32&lt;&gt;"✓",L32&lt;&gt;"",L32&lt;TODAY()),AND(Q32&lt;&gt;"✓",P32&lt;&gt;"",P32&lt;TODAY()),AND(S32&lt;&gt;"✓",R32&lt;&gt;"",R32&lt;TODAY()),AND(V32&lt;&gt;"✓",U32&lt;&gt;"",U32&lt;TODAY())),"遅延",IF(OR(AND(I32&lt;&gt;"✓",H32&lt;&gt;"",H32&lt;=TODAY()+7),AND(K32&lt;&gt;"✓",J32&lt;&gt;"",J32&lt;=TODAY()+7),AND(M32&lt;&gt;"✓",L32&lt;&gt;"",L32&lt;=TODAY()+7),AND(Q32&lt;&gt;"✓",P32&lt;&gt;"",P32&lt;=TODAY()+7),AND(S32&lt;&gt;"✓",R32&lt;&gt;"",R32&lt;=TODAY()+7),AND(V32&lt;&gt;"✓",U32&lt;&gt;"",U32&lt;=TODAY()+7)),"今週対応","進行中"))))</f>
        <v/>
      </c>
      <c r="Y32" s="13">
        <f>IF($A32="","",COUNTIFS(価格!$A$2:$A$251,$A32,価格!$B$2:$B$251,"PC"))</f>
        <v/>
      </c>
      <c r="Z32" s="13">
        <f>IF($A32="","",COUNTIFS(価格!$A$2:$A$251,$A32,価格!$B$2:$B$251,"オプション"))</f>
        <v/>
      </c>
      <c r="AA32" s="13">
        <f>IF($A32="","",COUNTIFS(価格!$A$2:$A$251,$A32)-COUNTIFS(価格!$A$2:$A$251,$A32,価格!$H$2:$H$251,"&gt;0",価格!$J$2:$J$251,"&gt;0"))</f>
        <v/>
      </c>
      <c r="AB32" s="14">
        <f>IF($A32="","",SUMIFS(価格!$N$2:$N$251,価格!$A$2:$A$251,$A32))</f>
        <v/>
      </c>
      <c r="AC32" s="6" t="n"/>
    </row>
    <row r="33">
      <c r="A33" s="6" t="n"/>
      <c r="B33" s="6" t="n"/>
      <c r="C33" s="6" t="n"/>
      <c r="D33" s="6" t="n"/>
      <c r="E33" s="8" t="n"/>
      <c r="F33" s="6" t="n"/>
      <c r="G33" s="6" t="n"/>
      <c r="H33" s="9" t="n"/>
      <c r="I33" s="10" t="n"/>
      <c r="J33" s="9" t="n"/>
      <c r="K33" s="10" t="n"/>
      <c r="L33" s="9" t="n"/>
      <c r="M33" s="10" t="n"/>
      <c r="N33" s="6" t="n"/>
      <c r="O33" s="9" t="n"/>
      <c r="P33" s="9" t="n"/>
      <c r="Q33" s="10" t="n"/>
      <c r="R33" s="9" t="n"/>
      <c r="S33" s="10" t="n"/>
      <c r="T33" s="6" t="n"/>
      <c r="U33" s="9" t="n"/>
      <c r="V33" s="10" t="n"/>
      <c r="W33" s="11">
        <f>IF($A33="","",(COUNTIF(I33,"✓")+ COUNTIF(K33,"✓")+ COUNTIF(M33,"✓")+ COUNTIF(Q33,"✓")+ COUNTIF(S33,"✓")+ COUNTIF(V33,"✓"))/6)</f>
        <v/>
      </c>
      <c r="X33" s="12">
        <f>IF($A33="","",IF(W33=1,"完了",IF(OR(AND(I33&lt;&gt;"✓",H33&lt;&gt;"",H33&lt;TODAY()),AND(K33&lt;&gt;"✓",J33&lt;&gt;"",J33&lt;TODAY()),AND(M33&lt;&gt;"✓",L33&lt;&gt;"",L33&lt;TODAY()),AND(Q33&lt;&gt;"✓",P33&lt;&gt;"",P33&lt;TODAY()),AND(S33&lt;&gt;"✓",R33&lt;&gt;"",R33&lt;TODAY()),AND(V33&lt;&gt;"✓",U33&lt;&gt;"",U33&lt;TODAY())),"遅延",IF(OR(AND(I33&lt;&gt;"✓",H33&lt;&gt;"",H33&lt;=TODAY()+7),AND(K33&lt;&gt;"✓",J33&lt;&gt;"",J33&lt;=TODAY()+7),AND(M33&lt;&gt;"✓",L33&lt;&gt;"",L33&lt;=TODAY()+7),AND(Q33&lt;&gt;"✓",P33&lt;&gt;"",P33&lt;=TODAY()+7),AND(S33&lt;&gt;"✓",R33&lt;&gt;"",R33&lt;=TODAY()+7),AND(V33&lt;&gt;"✓",U33&lt;&gt;"",U33&lt;=TODAY()+7)),"今週対応","進行中"))))</f>
        <v/>
      </c>
      <c r="Y33" s="13">
        <f>IF($A33="","",COUNTIFS(価格!$A$2:$A$251,$A33,価格!$B$2:$B$251,"PC"))</f>
        <v/>
      </c>
      <c r="Z33" s="13">
        <f>IF($A33="","",COUNTIFS(価格!$A$2:$A$251,$A33,価格!$B$2:$B$251,"オプション"))</f>
        <v/>
      </c>
      <c r="AA33" s="13">
        <f>IF($A33="","",COUNTIFS(価格!$A$2:$A$251,$A33)-COUNTIFS(価格!$A$2:$A$251,$A33,価格!$H$2:$H$251,"&gt;0",価格!$J$2:$J$251,"&gt;0"))</f>
        <v/>
      </c>
      <c r="AB33" s="14">
        <f>IF($A33="","",SUMIFS(価格!$N$2:$N$251,価格!$A$2:$A$251,$A33))</f>
        <v/>
      </c>
      <c r="AC33" s="6" t="n"/>
    </row>
    <row r="34">
      <c r="A34" s="6" t="n"/>
      <c r="B34" s="6" t="n"/>
      <c r="C34" s="6" t="n"/>
      <c r="D34" s="6" t="n"/>
      <c r="E34" s="8" t="n"/>
      <c r="F34" s="6" t="n"/>
      <c r="G34" s="6" t="n"/>
      <c r="H34" s="9" t="n"/>
      <c r="I34" s="10" t="n"/>
      <c r="J34" s="9" t="n"/>
      <c r="K34" s="10" t="n"/>
      <c r="L34" s="9" t="n"/>
      <c r="M34" s="10" t="n"/>
      <c r="N34" s="6" t="n"/>
      <c r="O34" s="9" t="n"/>
      <c r="P34" s="9" t="n"/>
      <c r="Q34" s="10" t="n"/>
      <c r="R34" s="9" t="n"/>
      <c r="S34" s="10" t="n"/>
      <c r="T34" s="6" t="n"/>
      <c r="U34" s="9" t="n"/>
      <c r="V34" s="10" t="n"/>
      <c r="W34" s="11">
        <f>IF($A34="","",(COUNTIF(I34,"✓")+ COUNTIF(K34,"✓")+ COUNTIF(M34,"✓")+ COUNTIF(Q34,"✓")+ COUNTIF(S34,"✓")+ COUNTIF(V34,"✓"))/6)</f>
        <v/>
      </c>
      <c r="X34" s="12">
        <f>IF($A34="","",IF(W34=1,"完了",IF(OR(AND(I34&lt;&gt;"✓",H34&lt;&gt;"",H34&lt;TODAY()),AND(K34&lt;&gt;"✓",J34&lt;&gt;"",J34&lt;TODAY()),AND(M34&lt;&gt;"✓",L34&lt;&gt;"",L34&lt;TODAY()),AND(Q34&lt;&gt;"✓",P34&lt;&gt;"",P34&lt;TODAY()),AND(S34&lt;&gt;"✓",R34&lt;&gt;"",R34&lt;TODAY()),AND(V34&lt;&gt;"✓",U34&lt;&gt;"",U34&lt;TODAY())),"遅延",IF(OR(AND(I34&lt;&gt;"✓",H34&lt;&gt;"",H34&lt;=TODAY()+7),AND(K34&lt;&gt;"✓",J34&lt;&gt;"",J34&lt;=TODAY()+7),AND(M34&lt;&gt;"✓",L34&lt;&gt;"",L34&lt;=TODAY()+7),AND(Q34&lt;&gt;"✓",P34&lt;&gt;"",P34&lt;=TODAY()+7),AND(S34&lt;&gt;"✓",R34&lt;&gt;"",R34&lt;=TODAY()+7),AND(V34&lt;&gt;"✓",U34&lt;&gt;"",U34&lt;=TODAY()+7)),"今週対応","進行中"))))</f>
        <v/>
      </c>
      <c r="Y34" s="13">
        <f>IF($A34="","",COUNTIFS(価格!$A$2:$A$251,$A34,価格!$B$2:$B$251,"PC"))</f>
        <v/>
      </c>
      <c r="Z34" s="13">
        <f>IF($A34="","",COUNTIFS(価格!$A$2:$A$251,$A34,価格!$B$2:$B$251,"オプション"))</f>
        <v/>
      </c>
      <c r="AA34" s="13">
        <f>IF($A34="","",COUNTIFS(価格!$A$2:$A$251,$A34)-COUNTIFS(価格!$A$2:$A$251,$A34,価格!$H$2:$H$251,"&gt;0",価格!$J$2:$J$251,"&gt;0"))</f>
        <v/>
      </c>
      <c r="AB34" s="14">
        <f>IF($A34="","",SUMIFS(価格!$N$2:$N$251,価格!$A$2:$A$251,$A34))</f>
        <v/>
      </c>
      <c r="AC34" s="6" t="n"/>
    </row>
    <row r="35">
      <c r="A35" s="6" t="n"/>
      <c r="B35" s="6" t="n"/>
      <c r="C35" s="6" t="n"/>
      <c r="D35" s="6" t="n"/>
      <c r="E35" s="8" t="n"/>
      <c r="F35" s="6" t="n"/>
      <c r="G35" s="6" t="n"/>
      <c r="H35" s="9" t="n"/>
      <c r="I35" s="10" t="n"/>
      <c r="J35" s="9" t="n"/>
      <c r="K35" s="10" t="n"/>
      <c r="L35" s="9" t="n"/>
      <c r="M35" s="10" t="n"/>
      <c r="N35" s="6" t="n"/>
      <c r="O35" s="9" t="n"/>
      <c r="P35" s="9" t="n"/>
      <c r="Q35" s="10" t="n"/>
      <c r="R35" s="9" t="n"/>
      <c r="S35" s="10" t="n"/>
      <c r="T35" s="6" t="n"/>
      <c r="U35" s="9" t="n"/>
      <c r="V35" s="10" t="n"/>
      <c r="W35" s="11">
        <f>IF($A35="","",(COUNTIF(I35,"✓")+ COUNTIF(K35,"✓")+ COUNTIF(M35,"✓")+ COUNTIF(Q35,"✓")+ COUNTIF(S35,"✓")+ COUNTIF(V35,"✓"))/6)</f>
        <v/>
      </c>
      <c r="X35" s="12">
        <f>IF($A35="","",IF(W35=1,"完了",IF(OR(AND(I35&lt;&gt;"✓",H35&lt;&gt;"",H35&lt;TODAY()),AND(K35&lt;&gt;"✓",J35&lt;&gt;"",J35&lt;TODAY()),AND(M35&lt;&gt;"✓",L35&lt;&gt;"",L35&lt;TODAY()),AND(Q35&lt;&gt;"✓",P35&lt;&gt;"",P35&lt;TODAY()),AND(S35&lt;&gt;"✓",R35&lt;&gt;"",R35&lt;TODAY()),AND(V35&lt;&gt;"✓",U35&lt;&gt;"",U35&lt;TODAY())),"遅延",IF(OR(AND(I35&lt;&gt;"✓",H35&lt;&gt;"",H35&lt;=TODAY()+7),AND(K35&lt;&gt;"✓",J35&lt;&gt;"",J35&lt;=TODAY()+7),AND(M35&lt;&gt;"✓",L35&lt;&gt;"",L35&lt;=TODAY()+7),AND(Q35&lt;&gt;"✓",P35&lt;&gt;"",P35&lt;=TODAY()+7),AND(S35&lt;&gt;"✓",R35&lt;&gt;"",R35&lt;=TODAY()+7),AND(V35&lt;&gt;"✓",U35&lt;&gt;"",U35&lt;=TODAY()+7)),"今週対応","進行中"))))</f>
        <v/>
      </c>
      <c r="Y35" s="13">
        <f>IF($A35="","",COUNTIFS(価格!$A$2:$A$251,$A35,価格!$B$2:$B$251,"PC"))</f>
        <v/>
      </c>
      <c r="Z35" s="13">
        <f>IF($A35="","",COUNTIFS(価格!$A$2:$A$251,$A35,価格!$B$2:$B$251,"オプション"))</f>
        <v/>
      </c>
      <c r="AA35" s="13">
        <f>IF($A35="","",COUNTIFS(価格!$A$2:$A$251,$A35)-COUNTIFS(価格!$A$2:$A$251,$A35,価格!$H$2:$H$251,"&gt;0",価格!$J$2:$J$251,"&gt;0"))</f>
        <v/>
      </c>
      <c r="AB35" s="14">
        <f>IF($A35="","",SUMIFS(価格!$N$2:$N$251,価格!$A$2:$A$251,$A35))</f>
        <v/>
      </c>
      <c r="AC35" s="6" t="n"/>
    </row>
    <row r="36">
      <c r="A36" s="6" t="n"/>
      <c r="B36" s="6" t="n"/>
      <c r="C36" s="6" t="n"/>
      <c r="D36" s="6" t="n"/>
      <c r="E36" s="8" t="n"/>
      <c r="F36" s="6" t="n"/>
      <c r="G36" s="6" t="n"/>
      <c r="H36" s="9" t="n"/>
      <c r="I36" s="10" t="n"/>
      <c r="J36" s="9" t="n"/>
      <c r="K36" s="10" t="n"/>
      <c r="L36" s="9" t="n"/>
      <c r="M36" s="10" t="n"/>
      <c r="N36" s="6" t="n"/>
      <c r="O36" s="9" t="n"/>
      <c r="P36" s="9" t="n"/>
      <c r="Q36" s="10" t="n"/>
      <c r="R36" s="9" t="n"/>
      <c r="S36" s="10" t="n"/>
      <c r="T36" s="6" t="n"/>
      <c r="U36" s="9" t="n"/>
      <c r="V36" s="10" t="n"/>
      <c r="W36" s="11">
        <f>IF($A36="","",(COUNTIF(I36,"✓")+ COUNTIF(K36,"✓")+ COUNTIF(M36,"✓")+ COUNTIF(Q36,"✓")+ COUNTIF(S36,"✓")+ COUNTIF(V36,"✓"))/6)</f>
        <v/>
      </c>
      <c r="X36" s="12">
        <f>IF($A36="","",IF(W36=1,"完了",IF(OR(AND(I36&lt;&gt;"✓",H36&lt;&gt;"",H36&lt;TODAY()),AND(K36&lt;&gt;"✓",J36&lt;&gt;"",J36&lt;TODAY()),AND(M36&lt;&gt;"✓",L36&lt;&gt;"",L36&lt;TODAY()),AND(Q36&lt;&gt;"✓",P36&lt;&gt;"",P36&lt;TODAY()),AND(S36&lt;&gt;"✓",R36&lt;&gt;"",R36&lt;TODAY()),AND(V36&lt;&gt;"✓",U36&lt;&gt;"",U36&lt;TODAY())),"遅延",IF(OR(AND(I36&lt;&gt;"✓",H36&lt;&gt;"",H36&lt;=TODAY()+7),AND(K36&lt;&gt;"✓",J36&lt;&gt;"",J36&lt;=TODAY()+7),AND(M36&lt;&gt;"✓",L36&lt;&gt;"",L36&lt;=TODAY()+7),AND(Q36&lt;&gt;"✓",P36&lt;&gt;"",P36&lt;=TODAY()+7),AND(S36&lt;&gt;"✓",R36&lt;&gt;"",R36&lt;=TODAY()+7),AND(V36&lt;&gt;"✓",U36&lt;&gt;"",U36&lt;=TODAY()+7)),"今週対応","進行中"))))</f>
        <v/>
      </c>
      <c r="Y36" s="13">
        <f>IF($A36="","",COUNTIFS(価格!$A$2:$A$251,$A36,価格!$B$2:$B$251,"PC"))</f>
        <v/>
      </c>
      <c r="Z36" s="13">
        <f>IF($A36="","",COUNTIFS(価格!$A$2:$A$251,$A36,価格!$B$2:$B$251,"オプション"))</f>
        <v/>
      </c>
      <c r="AA36" s="13">
        <f>IF($A36="","",COUNTIFS(価格!$A$2:$A$251,$A36)-COUNTIFS(価格!$A$2:$A$251,$A36,価格!$H$2:$H$251,"&gt;0",価格!$J$2:$J$251,"&gt;0"))</f>
        <v/>
      </c>
      <c r="AB36" s="14">
        <f>IF($A36="","",SUMIFS(価格!$N$2:$N$251,価格!$A$2:$A$251,$A36))</f>
        <v/>
      </c>
      <c r="AC36" s="6" t="n"/>
    </row>
    <row r="37">
      <c r="A37" s="6" t="n"/>
      <c r="B37" s="6" t="n"/>
      <c r="C37" s="6" t="n"/>
      <c r="D37" s="6" t="n"/>
      <c r="E37" s="8" t="n"/>
      <c r="F37" s="6" t="n"/>
      <c r="G37" s="6" t="n"/>
      <c r="H37" s="9" t="n"/>
      <c r="I37" s="10" t="n"/>
      <c r="J37" s="9" t="n"/>
      <c r="K37" s="10" t="n"/>
      <c r="L37" s="9" t="n"/>
      <c r="M37" s="10" t="n"/>
      <c r="N37" s="6" t="n"/>
      <c r="O37" s="9" t="n"/>
      <c r="P37" s="9" t="n"/>
      <c r="Q37" s="10" t="n"/>
      <c r="R37" s="9" t="n"/>
      <c r="S37" s="10" t="n"/>
      <c r="T37" s="6" t="n"/>
      <c r="U37" s="9" t="n"/>
      <c r="V37" s="10" t="n"/>
      <c r="W37" s="11">
        <f>IF($A37="","",(COUNTIF(I37,"✓")+ COUNTIF(K37,"✓")+ COUNTIF(M37,"✓")+ COUNTIF(Q37,"✓")+ COUNTIF(S37,"✓")+ COUNTIF(V37,"✓"))/6)</f>
        <v/>
      </c>
      <c r="X37" s="12">
        <f>IF($A37="","",IF(W37=1,"完了",IF(OR(AND(I37&lt;&gt;"✓",H37&lt;&gt;"",H37&lt;TODAY()),AND(K37&lt;&gt;"✓",J37&lt;&gt;"",J37&lt;TODAY()),AND(M37&lt;&gt;"✓",L37&lt;&gt;"",L37&lt;TODAY()),AND(Q37&lt;&gt;"✓",P37&lt;&gt;"",P37&lt;TODAY()),AND(S37&lt;&gt;"✓",R37&lt;&gt;"",R37&lt;TODAY()),AND(V37&lt;&gt;"✓",U37&lt;&gt;"",U37&lt;TODAY())),"遅延",IF(OR(AND(I37&lt;&gt;"✓",H37&lt;&gt;"",H37&lt;=TODAY()+7),AND(K37&lt;&gt;"✓",J37&lt;&gt;"",J37&lt;=TODAY()+7),AND(M37&lt;&gt;"✓",L37&lt;&gt;"",L37&lt;=TODAY()+7),AND(Q37&lt;&gt;"✓",P37&lt;&gt;"",P37&lt;=TODAY()+7),AND(S37&lt;&gt;"✓",R37&lt;&gt;"",R37&lt;=TODAY()+7),AND(V37&lt;&gt;"✓",U37&lt;&gt;"",U37&lt;=TODAY()+7)),"今週対応","進行中"))))</f>
        <v/>
      </c>
      <c r="Y37" s="13">
        <f>IF($A37="","",COUNTIFS(価格!$A$2:$A$251,$A37,価格!$B$2:$B$251,"PC"))</f>
        <v/>
      </c>
      <c r="Z37" s="13">
        <f>IF($A37="","",COUNTIFS(価格!$A$2:$A$251,$A37,価格!$B$2:$B$251,"オプション"))</f>
        <v/>
      </c>
      <c r="AA37" s="13">
        <f>IF($A37="","",COUNTIFS(価格!$A$2:$A$251,$A37)-COUNTIFS(価格!$A$2:$A$251,$A37,価格!$H$2:$H$251,"&gt;0",価格!$J$2:$J$251,"&gt;0"))</f>
        <v/>
      </c>
      <c r="AB37" s="14">
        <f>IF($A37="","",SUMIFS(価格!$N$2:$N$251,価格!$A$2:$A$251,$A37))</f>
        <v/>
      </c>
      <c r="AC37" s="6" t="n"/>
    </row>
    <row r="38">
      <c r="A38" s="6" t="n"/>
      <c r="B38" s="6" t="n"/>
      <c r="C38" s="6" t="n"/>
      <c r="D38" s="6" t="n"/>
      <c r="E38" s="8" t="n"/>
      <c r="F38" s="6" t="n"/>
      <c r="G38" s="6" t="n"/>
      <c r="H38" s="9" t="n"/>
      <c r="I38" s="10" t="n"/>
      <c r="J38" s="9" t="n"/>
      <c r="K38" s="10" t="n"/>
      <c r="L38" s="9" t="n"/>
      <c r="M38" s="10" t="n"/>
      <c r="N38" s="6" t="n"/>
      <c r="O38" s="9" t="n"/>
      <c r="P38" s="9" t="n"/>
      <c r="Q38" s="10" t="n"/>
      <c r="R38" s="9" t="n"/>
      <c r="S38" s="10" t="n"/>
      <c r="T38" s="6" t="n"/>
      <c r="U38" s="9" t="n"/>
      <c r="V38" s="10" t="n"/>
      <c r="W38" s="11">
        <f>IF($A38="","",(COUNTIF(I38,"✓")+ COUNTIF(K38,"✓")+ COUNTIF(M38,"✓")+ COUNTIF(Q38,"✓")+ COUNTIF(S38,"✓")+ COUNTIF(V38,"✓"))/6)</f>
        <v/>
      </c>
      <c r="X38" s="12">
        <f>IF($A38="","",IF(W38=1,"完了",IF(OR(AND(I38&lt;&gt;"✓",H38&lt;&gt;"",H38&lt;TODAY()),AND(K38&lt;&gt;"✓",J38&lt;&gt;"",J38&lt;TODAY()),AND(M38&lt;&gt;"✓",L38&lt;&gt;"",L38&lt;TODAY()),AND(Q38&lt;&gt;"✓",P38&lt;&gt;"",P38&lt;TODAY()),AND(S38&lt;&gt;"✓",R38&lt;&gt;"",R38&lt;TODAY()),AND(V38&lt;&gt;"✓",U38&lt;&gt;"",U38&lt;TODAY())),"遅延",IF(OR(AND(I38&lt;&gt;"✓",H38&lt;&gt;"",H38&lt;=TODAY()+7),AND(K38&lt;&gt;"✓",J38&lt;&gt;"",J38&lt;=TODAY()+7),AND(M38&lt;&gt;"✓",L38&lt;&gt;"",L38&lt;=TODAY()+7),AND(Q38&lt;&gt;"✓",P38&lt;&gt;"",P38&lt;=TODAY()+7),AND(S38&lt;&gt;"✓",R38&lt;&gt;"",R38&lt;=TODAY()+7),AND(V38&lt;&gt;"✓",U38&lt;&gt;"",U38&lt;=TODAY()+7)),"今週対応","進行中"))))</f>
        <v/>
      </c>
      <c r="Y38" s="13">
        <f>IF($A38="","",COUNTIFS(価格!$A$2:$A$251,$A38,価格!$B$2:$B$251,"PC"))</f>
        <v/>
      </c>
      <c r="Z38" s="13">
        <f>IF($A38="","",COUNTIFS(価格!$A$2:$A$251,$A38,価格!$B$2:$B$251,"オプション"))</f>
        <v/>
      </c>
      <c r="AA38" s="13">
        <f>IF($A38="","",COUNTIFS(価格!$A$2:$A$251,$A38)-COUNTIFS(価格!$A$2:$A$251,$A38,価格!$H$2:$H$251,"&gt;0",価格!$J$2:$J$251,"&gt;0"))</f>
        <v/>
      </c>
      <c r="AB38" s="14">
        <f>IF($A38="","",SUMIFS(価格!$N$2:$N$251,価格!$A$2:$A$251,$A38))</f>
        <v/>
      </c>
      <c r="AC38" s="6" t="n"/>
    </row>
    <row r="39">
      <c r="A39" s="6" t="n"/>
      <c r="B39" s="6" t="n"/>
      <c r="C39" s="6" t="n"/>
      <c r="D39" s="6" t="n"/>
      <c r="E39" s="8" t="n"/>
      <c r="F39" s="6" t="n"/>
      <c r="G39" s="6" t="n"/>
      <c r="H39" s="9" t="n"/>
      <c r="I39" s="10" t="n"/>
      <c r="J39" s="9" t="n"/>
      <c r="K39" s="10" t="n"/>
      <c r="L39" s="9" t="n"/>
      <c r="M39" s="10" t="n"/>
      <c r="N39" s="6" t="n"/>
      <c r="O39" s="9" t="n"/>
      <c r="P39" s="9" t="n"/>
      <c r="Q39" s="10" t="n"/>
      <c r="R39" s="9" t="n"/>
      <c r="S39" s="10" t="n"/>
      <c r="T39" s="6" t="n"/>
      <c r="U39" s="9" t="n"/>
      <c r="V39" s="10" t="n"/>
      <c r="W39" s="11">
        <f>IF($A39="","",(COUNTIF(I39,"✓")+ COUNTIF(K39,"✓")+ COUNTIF(M39,"✓")+ COUNTIF(Q39,"✓")+ COUNTIF(S39,"✓")+ COUNTIF(V39,"✓"))/6)</f>
        <v/>
      </c>
      <c r="X39" s="12">
        <f>IF($A39="","",IF(W39=1,"完了",IF(OR(AND(I39&lt;&gt;"✓",H39&lt;&gt;"",H39&lt;TODAY()),AND(K39&lt;&gt;"✓",J39&lt;&gt;"",J39&lt;TODAY()),AND(M39&lt;&gt;"✓",L39&lt;&gt;"",L39&lt;TODAY()),AND(Q39&lt;&gt;"✓",P39&lt;&gt;"",P39&lt;TODAY()),AND(S39&lt;&gt;"✓",R39&lt;&gt;"",R39&lt;TODAY()),AND(V39&lt;&gt;"✓",U39&lt;&gt;"",U39&lt;TODAY())),"遅延",IF(OR(AND(I39&lt;&gt;"✓",H39&lt;&gt;"",H39&lt;=TODAY()+7),AND(K39&lt;&gt;"✓",J39&lt;&gt;"",J39&lt;=TODAY()+7),AND(M39&lt;&gt;"✓",L39&lt;&gt;"",L39&lt;=TODAY()+7),AND(Q39&lt;&gt;"✓",P39&lt;&gt;"",P39&lt;=TODAY()+7),AND(S39&lt;&gt;"✓",R39&lt;&gt;"",R39&lt;=TODAY()+7),AND(V39&lt;&gt;"✓",U39&lt;&gt;"",U39&lt;=TODAY()+7)),"今週対応","進行中"))))</f>
        <v/>
      </c>
      <c r="Y39" s="13">
        <f>IF($A39="","",COUNTIFS(価格!$A$2:$A$251,$A39,価格!$B$2:$B$251,"PC"))</f>
        <v/>
      </c>
      <c r="Z39" s="13">
        <f>IF($A39="","",COUNTIFS(価格!$A$2:$A$251,$A39,価格!$B$2:$B$251,"オプション"))</f>
        <v/>
      </c>
      <c r="AA39" s="13">
        <f>IF($A39="","",COUNTIFS(価格!$A$2:$A$251,$A39)-COUNTIFS(価格!$A$2:$A$251,$A39,価格!$H$2:$H$251,"&gt;0",価格!$J$2:$J$251,"&gt;0"))</f>
        <v/>
      </c>
      <c r="AB39" s="14">
        <f>IF($A39="","",SUMIFS(価格!$N$2:$N$251,価格!$A$2:$A$251,$A39))</f>
        <v/>
      </c>
      <c r="AC39" s="6" t="n"/>
    </row>
    <row r="40">
      <c r="A40" s="6" t="n"/>
      <c r="B40" s="6" t="n"/>
      <c r="C40" s="6" t="n"/>
      <c r="D40" s="6" t="n"/>
      <c r="E40" s="8" t="n"/>
      <c r="F40" s="6" t="n"/>
      <c r="G40" s="6" t="n"/>
      <c r="H40" s="9" t="n"/>
      <c r="I40" s="10" t="n"/>
      <c r="J40" s="9" t="n"/>
      <c r="K40" s="10" t="n"/>
      <c r="L40" s="9" t="n"/>
      <c r="M40" s="10" t="n"/>
      <c r="N40" s="6" t="n"/>
      <c r="O40" s="9" t="n"/>
      <c r="P40" s="9" t="n"/>
      <c r="Q40" s="10" t="n"/>
      <c r="R40" s="9" t="n"/>
      <c r="S40" s="10" t="n"/>
      <c r="T40" s="6" t="n"/>
      <c r="U40" s="9" t="n"/>
      <c r="V40" s="10" t="n"/>
      <c r="W40" s="11">
        <f>IF($A40="","",(COUNTIF(I40,"✓")+ COUNTIF(K40,"✓")+ COUNTIF(M40,"✓")+ COUNTIF(Q40,"✓")+ COUNTIF(S40,"✓")+ COUNTIF(V40,"✓"))/6)</f>
        <v/>
      </c>
      <c r="X40" s="12">
        <f>IF($A40="","",IF(W40=1,"完了",IF(OR(AND(I40&lt;&gt;"✓",H40&lt;&gt;"",H40&lt;TODAY()),AND(K40&lt;&gt;"✓",J40&lt;&gt;"",J40&lt;TODAY()),AND(M40&lt;&gt;"✓",L40&lt;&gt;"",L40&lt;TODAY()),AND(Q40&lt;&gt;"✓",P40&lt;&gt;"",P40&lt;TODAY()),AND(S40&lt;&gt;"✓",R40&lt;&gt;"",R40&lt;TODAY()),AND(V40&lt;&gt;"✓",U40&lt;&gt;"",U40&lt;TODAY())),"遅延",IF(OR(AND(I40&lt;&gt;"✓",H40&lt;&gt;"",H40&lt;=TODAY()+7),AND(K40&lt;&gt;"✓",J40&lt;&gt;"",J40&lt;=TODAY()+7),AND(M40&lt;&gt;"✓",L40&lt;&gt;"",L40&lt;=TODAY()+7),AND(Q40&lt;&gt;"✓",P40&lt;&gt;"",P40&lt;=TODAY()+7),AND(S40&lt;&gt;"✓",R40&lt;&gt;"",R40&lt;=TODAY()+7),AND(V40&lt;&gt;"✓",U40&lt;&gt;"",U40&lt;=TODAY()+7)),"今週対応","進行中"))))</f>
        <v/>
      </c>
      <c r="Y40" s="13">
        <f>IF($A40="","",COUNTIFS(価格!$A$2:$A$251,$A40,価格!$B$2:$B$251,"PC"))</f>
        <v/>
      </c>
      <c r="Z40" s="13">
        <f>IF($A40="","",COUNTIFS(価格!$A$2:$A$251,$A40,価格!$B$2:$B$251,"オプション"))</f>
        <v/>
      </c>
      <c r="AA40" s="13">
        <f>IF($A40="","",COUNTIFS(価格!$A$2:$A$251,$A40)-COUNTIFS(価格!$A$2:$A$251,$A40,価格!$H$2:$H$251,"&gt;0",価格!$J$2:$J$251,"&gt;0"))</f>
        <v/>
      </c>
      <c r="AB40" s="14">
        <f>IF($A40="","",SUMIFS(価格!$N$2:$N$251,価格!$A$2:$A$251,$A40))</f>
        <v/>
      </c>
      <c r="AC40" s="6" t="n"/>
    </row>
    <row r="41">
      <c r="A41" s="6" t="n"/>
      <c r="B41" s="6" t="n"/>
      <c r="C41" s="6" t="n"/>
      <c r="D41" s="6" t="n"/>
      <c r="E41" s="8" t="n"/>
      <c r="F41" s="6" t="n"/>
      <c r="G41" s="6" t="n"/>
      <c r="H41" s="9" t="n"/>
      <c r="I41" s="10" t="n"/>
      <c r="J41" s="9" t="n"/>
      <c r="K41" s="10" t="n"/>
      <c r="L41" s="9" t="n"/>
      <c r="M41" s="10" t="n"/>
      <c r="N41" s="6" t="n"/>
      <c r="O41" s="9" t="n"/>
      <c r="P41" s="9" t="n"/>
      <c r="Q41" s="10" t="n"/>
      <c r="R41" s="9" t="n"/>
      <c r="S41" s="10" t="n"/>
      <c r="T41" s="6" t="n"/>
      <c r="U41" s="9" t="n"/>
      <c r="V41" s="10" t="n"/>
      <c r="W41" s="11">
        <f>IF($A41="","",(COUNTIF(I41,"✓")+ COUNTIF(K41,"✓")+ COUNTIF(M41,"✓")+ COUNTIF(Q41,"✓")+ COUNTIF(S41,"✓")+ COUNTIF(V41,"✓"))/6)</f>
        <v/>
      </c>
      <c r="X41" s="12">
        <f>IF($A41="","",IF(W41=1,"完了",IF(OR(AND(I41&lt;&gt;"✓",H41&lt;&gt;"",H41&lt;TODAY()),AND(K41&lt;&gt;"✓",J41&lt;&gt;"",J41&lt;TODAY()),AND(M41&lt;&gt;"✓",L41&lt;&gt;"",L41&lt;TODAY()),AND(Q41&lt;&gt;"✓",P41&lt;&gt;"",P41&lt;TODAY()),AND(S41&lt;&gt;"✓",R41&lt;&gt;"",R41&lt;TODAY()),AND(V41&lt;&gt;"✓",U41&lt;&gt;"",U41&lt;TODAY())),"遅延",IF(OR(AND(I41&lt;&gt;"✓",H41&lt;&gt;"",H41&lt;=TODAY()+7),AND(K41&lt;&gt;"✓",J41&lt;&gt;"",J41&lt;=TODAY()+7),AND(M41&lt;&gt;"✓",L41&lt;&gt;"",L41&lt;=TODAY()+7),AND(Q41&lt;&gt;"✓",P41&lt;&gt;"",P41&lt;=TODAY()+7),AND(S41&lt;&gt;"✓",R41&lt;&gt;"",R41&lt;=TODAY()+7),AND(V41&lt;&gt;"✓",U41&lt;&gt;"",U41&lt;=TODAY()+7)),"今週対応","進行中"))))</f>
        <v/>
      </c>
      <c r="Y41" s="13">
        <f>IF($A41="","",COUNTIFS(価格!$A$2:$A$251,$A41,価格!$B$2:$B$251,"PC"))</f>
        <v/>
      </c>
      <c r="Z41" s="13">
        <f>IF($A41="","",COUNTIFS(価格!$A$2:$A$251,$A41,価格!$B$2:$B$251,"オプション"))</f>
        <v/>
      </c>
      <c r="AA41" s="13">
        <f>IF($A41="","",COUNTIFS(価格!$A$2:$A$251,$A41)-COUNTIFS(価格!$A$2:$A$251,$A41,価格!$H$2:$H$251,"&gt;0",価格!$J$2:$J$251,"&gt;0"))</f>
        <v/>
      </c>
      <c r="AB41" s="14">
        <f>IF($A41="","",SUMIFS(価格!$N$2:$N$251,価格!$A$2:$A$251,$A41))</f>
        <v/>
      </c>
      <c r="AC41" s="6" t="n"/>
    </row>
    <row r="42">
      <c r="A42" s="6" t="n"/>
      <c r="B42" s="6" t="n"/>
      <c r="C42" s="6" t="n"/>
      <c r="D42" s="6" t="n"/>
      <c r="E42" s="8" t="n"/>
      <c r="F42" s="6" t="n"/>
      <c r="G42" s="6" t="n"/>
      <c r="H42" s="9" t="n"/>
      <c r="I42" s="10" t="n"/>
      <c r="J42" s="9" t="n"/>
      <c r="K42" s="10" t="n"/>
      <c r="L42" s="9" t="n"/>
      <c r="M42" s="10" t="n"/>
      <c r="N42" s="6" t="n"/>
      <c r="O42" s="9" t="n"/>
      <c r="P42" s="9" t="n"/>
      <c r="Q42" s="10" t="n"/>
      <c r="R42" s="9" t="n"/>
      <c r="S42" s="10" t="n"/>
      <c r="T42" s="6" t="n"/>
      <c r="U42" s="9" t="n"/>
      <c r="V42" s="10" t="n"/>
      <c r="W42" s="11">
        <f>IF($A42="","",(COUNTIF(I42,"✓")+ COUNTIF(K42,"✓")+ COUNTIF(M42,"✓")+ COUNTIF(Q42,"✓")+ COUNTIF(S42,"✓")+ COUNTIF(V42,"✓"))/6)</f>
        <v/>
      </c>
      <c r="X42" s="12">
        <f>IF($A42="","",IF(W42=1,"完了",IF(OR(AND(I42&lt;&gt;"✓",H42&lt;&gt;"",H42&lt;TODAY()),AND(K42&lt;&gt;"✓",J42&lt;&gt;"",J42&lt;TODAY()),AND(M42&lt;&gt;"✓",L42&lt;&gt;"",L42&lt;TODAY()),AND(Q42&lt;&gt;"✓",P42&lt;&gt;"",P42&lt;TODAY()),AND(S42&lt;&gt;"✓",R42&lt;&gt;"",R42&lt;TODAY()),AND(V42&lt;&gt;"✓",U42&lt;&gt;"",U42&lt;TODAY())),"遅延",IF(OR(AND(I42&lt;&gt;"✓",H42&lt;&gt;"",H42&lt;=TODAY()+7),AND(K42&lt;&gt;"✓",J42&lt;&gt;"",J42&lt;=TODAY()+7),AND(M42&lt;&gt;"✓",L42&lt;&gt;"",L42&lt;=TODAY()+7),AND(Q42&lt;&gt;"✓",P42&lt;&gt;"",P42&lt;=TODAY()+7),AND(S42&lt;&gt;"✓",R42&lt;&gt;"",R42&lt;=TODAY()+7),AND(V42&lt;&gt;"✓",U42&lt;&gt;"",U42&lt;=TODAY()+7)),"今週対応","進行中"))))</f>
        <v/>
      </c>
      <c r="Y42" s="13">
        <f>IF($A42="","",COUNTIFS(価格!$A$2:$A$251,$A42,価格!$B$2:$B$251,"PC"))</f>
        <v/>
      </c>
      <c r="Z42" s="13">
        <f>IF($A42="","",COUNTIFS(価格!$A$2:$A$251,$A42,価格!$B$2:$B$251,"オプション"))</f>
        <v/>
      </c>
      <c r="AA42" s="13">
        <f>IF($A42="","",COUNTIFS(価格!$A$2:$A$251,$A42)-COUNTIFS(価格!$A$2:$A$251,$A42,価格!$H$2:$H$251,"&gt;0",価格!$J$2:$J$251,"&gt;0"))</f>
        <v/>
      </c>
      <c r="AB42" s="14">
        <f>IF($A42="","",SUMIFS(価格!$N$2:$N$251,価格!$A$2:$A$251,$A42))</f>
        <v/>
      </c>
      <c r="AC42" s="6" t="n"/>
    </row>
    <row r="43">
      <c r="A43" s="6" t="n"/>
      <c r="B43" s="6" t="n"/>
      <c r="C43" s="6" t="n"/>
      <c r="D43" s="6" t="n"/>
      <c r="E43" s="8" t="n"/>
      <c r="F43" s="6" t="n"/>
      <c r="G43" s="6" t="n"/>
      <c r="H43" s="9" t="n"/>
      <c r="I43" s="10" t="n"/>
      <c r="J43" s="9" t="n"/>
      <c r="K43" s="10" t="n"/>
      <c r="L43" s="9" t="n"/>
      <c r="M43" s="10" t="n"/>
      <c r="N43" s="6" t="n"/>
      <c r="O43" s="9" t="n"/>
      <c r="P43" s="9" t="n"/>
      <c r="Q43" s="10" t="n"/>
      <c r="R43" s="9" t="n"/>
      <c r="S43" s="10" t="n"/>
      <c r="T43" s="6" t="n"/>
      <c r="U43" s="9" t="n"/>
      <c r="V43" s="10" t="n"/>
      <c r="W43" s="11">
        <f>IF($A43="","",(COUNTIF(I43,"✓")+ COUNTIF(K43,"✓")+ COUNTIF(M43,"✓")+ COUNTIF(Q43,"✓")+ COUNTIF(S43,"✓")+ COUNTIF(V43,"✓"))/6)</f>
        <v/>
      </c>
      <c r="X43" s="12">
        <f>IF($A43="","",IF(W43=1,"完了",IF(OR(AND(I43&lt;&gt;"✓",H43&lt;&gt;"",H43&lt;TODAY()),AND(K43&lt;&gt;"✓",J43&lt;&gt;"",J43&lt;TODAY()),AND(M43&lt;&gt;"✓",L43&lt;&gt;"",L43&lt;TODAY()),AND(Q43&lt;&gt;"✓",P43&lt;&gt;"",P43&lt;TODAY()),AND(S43&lt;&gt;"✓",R43&lt;&gt;"",R43&lt;TODAY()),AND(V43&lt;&gt;"✓",U43&lt;&gt;"",U43&lt;TODAY())),"遅延",IF(OR(AND(I43&lt;&gt;"✓",H43&lt;&gt;"",H43&lt;=TODAY()+7),AND(K43&lt;&gt;"✓",J43&lt;&gt;"",J43&lt;=TODAY()+7),AND(M43&lt;&gt;"✓",L43&lt;&gt;"",L43&lt;=TODAY()+7),AND(Q43&lt;&gt;"✓",P43&lt;&gt;"",P43&lt;=TODAY()+7),AND(S43&lt;&gt;"✓",R43&lt;&gt;"",R43&lt;=TODAY()+7),AND(V43&lt;&gt;"✓",U43&lt;&gt;"",U43&lt;=TODAY()+7)),"今週対応","進行中"))))</f>
        <v/>
      </c>
      <c r="Y43" s="13">
        <f>IF($A43="","",COUNTIFS(価格!$A$2:$A$251,$A43,価格!$B$2:$B$251,"PC"))</f>
        <v/>
      </c>
      <c r="Z43" s="13">
        <f>IF($A43="","",COUNTIFS(価格!$A$2:$A$251,$A43,価格!$B$2:$B$251,"オプション"))</f>
        <v/>
      </c>
      <c r="AA43" s="13">
        <f>IF($A43="","",COUNTIFS(価格!$A$2:$A$251,$A43)-COUNTIFS(価格!$A$2:$A$251,$A43,価格!$H$2:$H$251,"&gt;0",価格!$J$2:$J$251,"&gt;0"))</f>
        <v/>
      </c>
      <c r="AB43" s="14">
        <f>IF($A43="","",SUMIFS(価格!$N$2:$N$251,価格!$A$2:$A$251,$A43))</f>
        <v/>
      </c>
      <c r="AC43" s="6" t="n"/>
    </row>
    <row r="44">
      <c r="A44" s="6" t="n"/>
      <c r="B44" s="6" t="n"/>
      <c r="C44" s="6" t="n"/>
      <c r="D44" s="6" t="n"/>
      <c r="E44" s="8" t="n"/>
      <c r="F44" s="6" t="n"/>
      <c r="G44" s="6" t="n"/>
      <c r="H44" s="9" t="n"/>
      <c r="I44" s="10" t="n"/>
      <c r="J44" s="9" t="n"/>
      <c r="K44" s="10" t="n"/>
      <c r="L44" s="9" t="n"/>
      <c r="M44" s="10" t="n"/>
      <c r="N44" s="6" t="n"/>
      <c r="O44" s="9" t="n"/>
      <c r="P44" s="9" t="n"/>
      <c r="Q44" s="10" t="n"/>
      <c r="R44" s="9" t="n"/>
      <c r="S44" s="10" t="n"/>
      <c r="T44" s="6" t="n"/>
      <c r="U44" s="9" t="n"/>
      <c r="V44" s="10" t="n"/>
      <c r="W44" s="11">
        <f>IF($A44="","",(COUNTIF(I44,"✓")+ COUNTIF(K44,"✓")+ COUNTIF(M44,"✓")+ COUNTIF(Q44,"✓")+ COUNTIF(S44,"✓")+ COUNTIF(V44,"✓"))/6)</f>
        <v/>
      </c>
      <c r="X44" s="12">
        <f>IF($A44="","",IF(W44=1,"完了",IF(OR(AND(I44&lt;&gt;"✓",H44&lt;&gt;"",H44&lt;TODAY()),AND(K44&lt;&gt;"✓",J44&lt;&gt;"",J44&lt;TODAY()),AND(M44&lt;&gt;"✓",L44&lt;&gt;"",L44&lt;TODAY()),AND(Q44&lt;&gt;"✓",P44&lt;&gt;"",P44&lt;TODAY()),AND(S44&lt;&gt;"✓",R44&lt;&gt;"",R44&lt;TODAY()),AND(V44&lt;&gt;"✓",U44&lt;&gt;"",U44&lt;TODAY())),"遅延",IF(OR(AND(I44&lt;&gt;"✓",H44&lt;&gt;"",H44&lt;=TODAY()+7),AND(K44&lt;&gt;"✓",J44&lt;&gt;"",J44&lt;=TODAY()+7),AND(M44&lt;&gt;"✓",L44&lt;&gt;"",L44&lt;=TODAY()+7),AND(Q44&lt;&gt;"✓",P44&lt;&gt;"",P44&lt;=TODAY()+7),AND(S44&lt;&gt;"✓",R44&lt;&gt;"",R44&lt;=TODAY()+7),AND(V44&lt;&gt;"✓",U44&lt;&gt;"",U44&lt;=TODAY()+7)),"今週対応","進行中"))))</f>
        <v/>
      </c>
      <c r="Y44" s="13">
        <f>IF($A44="","",COUNTIFS(価格!$A$2:$A$251,$A44,価格!$B$2:$B$251,"PC"))</f>
        <v/>
      </c>
      <c r="Z44" s="13">
        <f>IF($A44="","",COUNTIFS(価格!$A$2:$A$251,$A44,価格!$B$2:$B$251,"オプション"))</f>
        <v/>
      </c>
      <c r="AA44" s="13">
        <f>IF($A44="","",COUNTIFS(価格!$A$2:$A$251,$A44)-COUNTIFS(価格!$A$2:$A$251,$A44,価格!$H$2:$H$251,"&gt;0",価格!$J$2:$J$251,"&gt;0"))</f>
        <v/>
      </c>
      <c r="AB44" s="14">
        <f>IF($A44="","",SUMIFS(価格!$N$2:$N$251,価格!$A$2:$A$251,$A44))</f>
        <v/>
      </c>
      <c r="AC44" s="6" t="n"/>
    </row>
    <row r="45">
      <c r="A45" s="6" t="n"/>
      <c r="B45" s="6" t="n"/>
      <c r="C45" s="6" t="n"/>
      <c r="D45" s="6" t="n"/>
      <c r="E45" s="8" t="n"/>
      <c r="F45" s="6" t="n"/>
      <c r="G45" s="6" t="n"/>
      <c r="H45" s="9" t="n"/>
      <c r="I45" s="10" t="n"/>
      <c r="J45" s="9" t="n"/>
      <c r="K45" s="10" t="n"/>
      <c r="L45" s="9" t="n"/>
      <c r="M45" s="10" t="n"/>
      <c r="N45" s="6" t="n"/>
      <c r="O45" s="9" t="n"/>
      <c r="P45" s="9" t="n"/>
      <c r="Q45" s="10" t="n"/>
      <c r="R45" s="9" t="n"/>
      <c r="S45" s="10" t="n"/>
      <c r="T45" s="6" t="n"/>
      <c r="U45" s="9" t="n"/>
      <c r="V45" s="10" t="n"/>
      <c r="W45" s="11">
        <f>IF($A45="","",(COUNTIF(I45,"✓")+ COUNTIF(K45,"✓")+ COUNTIF(M45,"✓")+ COUNTIF(Q45,"✓")+ COUNTIF(S45,"✓")+ COUNTIF(V45,"✓"))/6)</f>
        <v/>
      </c>
      <c r="X45" s="12">
        <f>IF($A45="","",IF(W45=1,"完了",IF(OR(AND(I45&lt;&gt;"✓",H45&lt;&gt;"",H45&lt;TODAY()),AND(K45&lt;&gt;"✓",J45&lt;&gt;"",J45&lt;TODAY()),AND(M45&lt;&gt;"✓",L45&lt;&gt;"",L45&lt;TODAY()),AND(Q45&lt;&gt;"✓",P45&lt;&gt;"",P45&lt;TODAY()),AND(S45&lt;&gt;"✓",R45&lt;&gt;"",R45&lt;TODAY()),AND(V45&lt;&gt;"✓",U45&lt;&gt;"",U45&lt;TODAY())),"遅延",IF(OR(AND(I45&lt;&gt;"✓",H45&lt;&gt;"",H45&lt;=TODAY()+7),AND(K45&lt;&gt;"✓",J45&lt;&gt;"",J45&lt;=TODAY()+7),AND(M45&lt;&gt;"✓",L45&lt;&gt;"",L45&lt;=TODAY()+7),AND(Q45&lt;&gt;"✓",P45&lt;&gt;"",P45&lt;=TODAY()+7),AND(S45&lt;&gt;"✓",R45&lt;&gt;"",R45&lt;=TODAY()+7),AND(V45&lt;&gt;"✓",U45&lt;&gt;"",U45&lt;=TODAY()+7)),"今週対応","進行中"))))</f>
        <v/>
      </c>
      <c r="Y45" s="13">
        <f>IF($A45="","",COUNTIFS(価格!$A$2:$A$251,$A45,価格!$B$2:$B$251,"PC"))</f>
        <v/>
      </c>
      <c r="Z45" s="13">
        <f>IF($A45="","",COUNTIFS(価格!$A$2:$A$251,$A45,価格!$B$2:$B$251,"オプション"))</f>
        <v/>
      </c>
      <c r="AA45" s="13">
        <f>IF($A45="","",COUNTIFS(価格!$A$2:$A$251,$A45)-COUNTIFS(価格!$A$2:$A$251,$A45,価格!$H$2:$H$251,"&gt;0",価格!$J$2:$J$251,"&gt;0"))</f>
        <v/>
      </c>
      <c r="AB45" s="14">
        <f>IF($A45="","",SUMIFS(価格!$N$2:$N$251,価格!$A$2:$A$251,$A45))</f>
        <v/>
      </c>
      <c r="AC45" s="6" t="n"/>
    </row>
    <row r="46">
      <c r="A46" s="6" t="n"/>
      <c r="B46" s="6" t="n"/>
      <c r="C46" s="6" t="n"/>
      <c r="D46" s="6" t="n"/>
      <c r="E46" s="8" t="n"/>
      <c r="F46" s="6" t="n"/>
      <c r="G46" s="6" t="n"/>
      <c r="H46" s="9" t="n"/>
      <c r="I46" s="10" t="n"/>
      <c r="J46" s="9" t="n"/>
      <c r="K46" s="10" t="n"/>
      <c r="L46" s="9" t="n"/>
      <c r="M46" s="10" t="n"/>
      <c r="N46" s="6" t="n"/>
      <c r="O46" s="9" t="n"/>
      <c r="P46" s="9" t="n"/>
      <c r="Q46" s="10" t="n"/>
      <c r="R46" s="9" t="n"/>
      <c r="S46" s="10" t="n"/>
      <c r="T46" s="6" t="n"/>
      <c r="U46" s="9" t="n"/>
      <c r="V46" s="10" t="n"/>
      <c r="W46" s="11">
        <f>IF($A46="","",(COUNTIF(I46,"✓")+ COUNTIF(K46,"✓")+ COUNTIF(M46,"✓")+ COUNTIF(Q46,"✓")+ COUNTIF(S46,"✓")+ COUNTIF(V46,"✓"))/6)</f>
        <v/>
      </c>
      <c r="X46" s="12">
        <f>IF($A46="","",IF(W46=1,"完了",IF(OR(AND(I46&lt;&gt;"✓",H46&lt;&gt;"",H46&lt;TODAY()),AND(K46&lt;&gt;"✓",J46&lt;&gt;"",J46&lt;TODAY()),AND(M46&lt;&gt;"✓",L46&lt;&gt;"",L46&lt;TODAY()),AND(Q46&lt;&gt;"✓",P46&lt;&gt;"",P46&lt;TODAY()),AND(S46&lt;&gt;"✓",R46&lt;&gt;"",R46&lt;TODAY()),AND(V46&lt;&gt;"✓",U46&lt;&gt;"",U46&lt;TODAY())),"遅延",IF(OR(AND(I46&lt;&gt;"✓",H46&lt;&gt;"",H46&lt;=TODAY()+7),AND(K46&lt;&gt;"✓",J46&lt;&gt;"",J46&lt;=TODAY()+7),AND(M46&lt;&gt;"✓",L46&lt;&gt;"",L46&lt;=TODAY()+7),AND(Q46&lt;&gt;"✓",P46&lt;&gt;"",P46&lt;=TODAY()+7),AND(S46&lt;&gt;"✓",R46&lt;&gt;"",R46&lt;=TODAY()+7),AND(V46&lt;&gt;"✓",U46&lt;&gt;"",U46&lt;=TODAY()+7)),"今週対応","進行中"))))</f>
        <v/>
      </c>
      <c r="Y46" s="13">
        <f>IF($A46="","",COUNTIFS(価格!$A$2:$A$251,$A46,価格!$B$2:$B$251,"PC"))</f>
        <v/>
      </c>
      <c r="Z46" s="13">
        <f>IF($A46="","",COUNTIFS(価格!$A$2:$A$251,$A46,価格!$B$2:$B$251,"オプション"))</f>
        <v/>
      </c>
      <c r="AA46" s="13">
        <f>IF($A46="","",COUNTIFS(価格!$A$2:$A$251,$A46)-COUNTIFS(価格!$A$2:$A$251,$A46,価格!$H$2:$H$251,"&gt;0",価格!$J$2:$J$251,"&gt;0"))</f>
        <v/>
      </c>
      <c r="AB46" s="14">
        <f>IF($A46="","",SUMIFS(価格!$N$2:$N$251,価格!$A$2:$A$251,$A46))</f>
        <v/>
      </c>
      <c r="AC46" s="6" t="n"/>
    </row>
    <row r="47">
      <c r="A47" s="6" t="n"/>
      <c r="B47" s="6" t="n"/>
      <c r="C47" s="6" t="n"/>
      <c r="D47" s="6" t="n"/>
      <c r="E47" s="8" t="n"/>
      <c r="F47" s="6" t="n"/>
      <c r="G47" s="6" t="n"/>
      <c r="H47" s="9" t="n"/>
      <c r="I47" s="10" t="n"/>
      <c r="J47" s="9" t="n"/>
      <c r="K47" s="10" t="n"/>
      <c r="L47" s="9" t="n"/>
      <c r="M47" s="10" t="n"/>
      <c r="N47" s="6" t="n"/>
      <c r="O47" s="9" t="n"/>
      <c r="P47" s="9" t="n"/>
      <c r="Q47" s="10" t="n"/>
      <c r="R47" s="9" t="n"/>
      <c r="S47" s="10" t="n"/>
      <c r="T47" s="6" t="n"/>
      <c r="U47" s="9" t="n"/>
      <c r="V47" s="10" t="n"/>
      <c r="W47" s="11">
        <f>IF($A47="","",(COUNTIF(I47,"✓")+ COUNTIF(K47,"✓")+ COUNTIF(M47,"✓")+ COUNTIF(Q47,"✓")+ COUNTIF(S47,"✓")+ COUNTIF(V47,"✓"))/6)</f>
        <v/>
      </c>
      <c r="X47" s="12">
        <f>IF($A47="","",IF(W47=1,"完了",IF(OR(AND(I47&lt;&gt;"✓",H47&lt;&gt;"",H47&lt;TODAY()),AND(K47&lt;&gt;"✓",J47&lt;&gt;"",J47&lt;TODAY()),AND(M47&lt;&gt;"✓",L47&lt;&gt;"",L47&lt;TODAY()),AND(Q47&lt;&gt;"✓",P47&lt;&gt;"",P47&lt;TODAY()),AND(S47&lt;&gt;"✓",R47&lt;&gt;"",R47&lt;TODAY()),AND(V47&lt;&gt;"✓",U47&lt;&gt;"",U47&lt;TODAY())),"遅延",IF(OR(AND(I47&lt;&gt;"✓",H47&lt;&gt;"",H47&lt;=TODAY()+7),AND(K47&lt;&gt;"✓",J47&lt;&gt;"",J47&lt;=TODAY()+7),AND(M47&lt;&gt;"✓",L47&lt;&gt;"",L47&lt;=TODAY()+7),AND(Q47&lt;&gt;"✓",P47&lt;&gt;"",P47&lt;=TODAY()+7),AND(S47&lt;&gt;"✓",R47&lt;&gt;"",R47&lt;=TODAY()+7),AND(V47&lt;&gt;"✓",U47&lt;&gt;"",U47&lt;=TODAY()+7)),"今週対応","進行中"))))</f>
        <v/>
      </c>
      <c r="Y47" s="13">
        <f>IF($A47="","",COUNTIFS(価格!$A$2:$A$251,$A47,価格!$B$2:$B$251,"PC"))</f>
        <v/>
      </c>
      <c r="Z47" s="13">
        <f>IF($A47="","",COUNTIFS(価格!$A$2:$A$251,$A47,価格!$B$2:$B$251,"オプション"))</f>
        <v/>
      </c>
      <c r="AA47" s="13">
        <f>IF($A47="","",COUNTIFS(価格!$A$2:$A$251,$A47)-COUNTIFS(価格!$A$2:$A$251,$A47,価格!$H$2:$H$251,"&gt;0",価格!$J$2:$J$251,"&gt;0"))</f>
        <v/>
      </c>
      <c r="AB47" s="14">
        <f>IF($A47="","",SUMIFS(価格!$N$2:$N$251,価格!$A$2:$A$251,$A47))</f>
        <v/>
      </c>
      <c r="AC47" s="6" t="n"/>
    </row>
    <row r="48">
      <c r="A48" s="6" t="n"/>
      <c r="B48" s="6" t="n"/>
      <c r="C48" s="6" t="n"/>
      <c r="D48" s="6" t="n"/>
      <c r="E48" s="8" t="n"/>
      <c r="F48" s="6" t="n"/>
      <c r="G48" s="6" t="n"/>
      <c r="H48" s="9" t="n"/>
      <c r="I48" s="10" t="n"/>
      <c r="J48" s="9" t="n"/>
      <c r="K48" s="10" t="n"/>
      <c r="L48" s="9" t="n"/>
      <c r="M48" s="10" t="n"/>
      <c r="N48" s="6" t="n"/>
      <c r="O48" s="9" t="n"/>
      <c r="P48" s="9" t="n"/>
      <c r="Q48" s="10" t="n"/>
      <c r="R48" s="9" t="n"/>
      <c r="S48" s="10" t="n"/>
      <c r="T48" s="6" t="n"/>
      <c r="U48" s="9" t="n"/>
      <c r="V48" s="10" t="n"/>
      <c r="W48" s="11">
        <f>IF($A48="","",(COUNTIF(I48,"✓")+ COUNTIF(K48,"✓")+ COUNTIF(M48,"✓")+ COUNTIF(Q48,"✓")+ COUNTIF(S48,"✓")+ COUNTIF(V48,"✓"))/6)</f>
        <v/>
      </c>
      <c r="X48" s="12">
        <f>IF($A48="","",IF(W48=1,"完了",IF(OR(AND(I48&lt;&gt;"✓",H48&lt;&gt;"",H48&lt;TODAY()),AND(K48&lt;&gt;"✓",J48&lt;&gt;"",J48&lt;TODAY()),AND(M48&lt;&gt;"✓",L48&lt;&gt;"",L48&lt;TODAY()),AND(Q48&lt;&gt;"✓",P48&lt;&gt;"",P48&lt;TODAY()),AND(S48&lt;&gt;"✓",R48&lt;&gt;"",R48&lt;TODAY()),AND(V48&lt;&gt;"✓",U48&lt;&gt;"",U48&lt;TODAY())),"遅延",IF(OR(AND(I48&lt;&gt;"✓",H48&lt;&gt;"",H48&lt;=TODAY()+7),AND(K48&lt;&gt;"✓",J48&lt;&gt;"",J48&lt;=TODAY()+7),AND(M48&lt;&gt;"✓",L48&lt;&gt;"",L48&lt;=TODAY()+7),AND(Q48&lt;&gt;"✓",P48&lt;&gt;"",P48&lt;=TODAY()+7),AND(S48&lt;&gt;"✓",R48&lt;&gt;"",R48&lt;=TODAY()+7),AND(V48&lt;&gt;"✓",U48&lt;&gt;"",U48&lt;=TODAY()+7)),"今週対応","進行中"))))</f>
        <v/>
      </c>
      <c r="Y48" s="13">
        <f>IF($A48="","",COUNTIFS(価格!$A$2:$A$251,$A48,価格!$B$2:$B$251,"PC"))</f>
        <v/>
      </c>
      <c r="Z48" s="13">
        <f>IF($A48="","",COUNTIFS(価格!$A$2:$A$251,$A48,価格!$B$2:$B$251,"オプション"))</f>
        <v/>
      </c>
      <c r="AA48" s="13">
        <f>IF($A48="","",COUNTIFS(価格!$A$2:$A$251,$A48)-COUNTIFS(価格!$A$2:$A$251,$A48,価格!$H$2:$H$251,"&gt;0",価格!$J$2:$J$251,"&gt;0"))</f>
        <v/>
      </c>
      <c r="AB48" s="14">
        <f>IF($A48="","",SUMIFS(価格!$N$2:$N$251,価格!$A$2:$A$251,$A48))</f>
        <v/>
      </c>
      <c r="AC48" s="6" t="n"/>
    </row>
    <row r="49">
      <c r="A49" s="6" t="n"/>
      <c r="B49" s="6" t="n"/>
      <c r="C49" s="6" t="n"/>
      <c r="D49" s="6" t="n"/>
      <c r="E49" s="8" t="n"/>
      <c r="F49" s="6" t="n"/>
      <c r="G49" s="6" t="n"/>
      <c r="H49" s="9" t="n"/>
      <c r="I49" s="10" t="n"/>
      <c r="J49" s="9" t="n"/>
      <c r="K49" s="10" t="n"/>
      <c r="L49" s="9" t="n"/>
      <c r="M49" s="10" t="n"/>
      <c r="N49" s="6" t="n"/>
      <c r="O49" s="9" t="n"/>
      <c r="P49" s="9" t="n"/>
      <c r="Q49" s="10" t="n"/>
      <c r="R49" s="9" t="n"/>
      <c r="S49" s="10" t="n"/>
      <c r="T49" s="6" t="n"/>
      <c r="U49" s="9" t="n"/>
      <c r="V49" s="10" t="n"/>
      <c r="W49" s="11">
        <f>IF($A49="","",(COUNTIF(I49,"✓")+ COUNTIF(K49,"✓")+ COUNTIF(M49,"✓")+ COUNTIF(Q49,"✓")+ COUNTIF(S49,"✓")+ COUNTIF(V49,"✓"))/6)</f>
        <v/>
      </c>
      <c r="X49" s="12">
        <f>IF($A49="","",IF(W49=1,"完了",IF(OR(AND(I49&lt;&gt;"✓",H49&lt;&gt;"",H49&lt;TODAY()),AND(K49&lt;&gt;"✓",J49&lt;&gt;"",J49&lt;TODAY()),AND(M49&lt;&gt;"✓",L49&lt;&gt;"",L49&lt;TODAY()),AND(Q49&lt;&gt;"✓",P49&lt;&gt;"",P49&lt;TODAY()),AND(S49&lt;&gt;"✓",R49&lt;&gt;"",R49&lt;TODAY()),AND(V49&lt;&gt;"✓",U49&lt;&gt;"",U49&lt;TODAY())),"遅延",IF(OR(AND(I49&lt;&gt;"✓",H49&lt;&gt;"",H49&lt;=TODAY()+7),AND(K49&lt;&gt;"✓",J49&lt;&gt;"",J49&lt;=TODAY()+7),AND(M49&lt;&gt;"✓",L49&lt;&gt;"",L49&lt;=TODAY()+7),AND(Q49&lt;&gt;"✓",P49&lt;&gt;"",P49&lt;=TODAY()+7),AND(S49&lt;&gt;"✓",R49&lt;&gt;"",R49&lt;=TODAY()+7),AND(V49&lt;&gt;"✓",U49&lt;&gt;"",U49&lt;=TODAY()+7)),"今週対応","進行中"))))</f>
        <v/>
      </c>
      <c r="Y49" s="13">
        <f>IF($A49="","",COUNTIFS(価格!$A$2:$A$251,$A49,価格!$B$2:$B$251,"PC"))</f>
        <v/>
      </c>
      <c r="Z49" s="13">
        <f>IF($A49="","",COUNTIFS(価格!$A$2:$A$251,$A49,価格!$B$2:$B$251,"オプション"))</f>
        <v/>
      </c>
      <c r="AA49" s="13">
        <f>IF($A49="","",COUNTIFS(価格!$A$2:$A$251,$A49)-COUNTIFS(価格!$A$2:$A$251,$A49,価格!$H$2:$H$251,"&gt;0",価格!$J$2:$J$251,"&gt;0"))</f>
        <v/>
      </c>
      <c r="AB49" s="14">
        <f>IF($A49="","",SUMIFS(価格!$N$2:$N$251,価格!$A$2:$A$251,$A49))</f>
        <v/>
      </c>
      <c r="AC49" s="6" t="n"/>
    </row>
    <row r="50">
      <c r="A50" s="6" t="n"/>
      <c r="B50" s="6" t="n"/>
      <c r="C50" s="6" t="n"/>
      <c r="D50" s="6" t="n"/>
      <c r="E50" s="8" t="n"/>
      <c r="F50" s="6" t="n"/>
      <c r="G50" s="6" t="n"/>
      <c r="H50" s="9" t="n"/>
      <c r="I50" s="10" t="n"/>
      <c r="J50" s="9" t="n"/>
      <c r="K50" s="10" t="n"/>
      <c r="L50" s="9" t="n"/>
      <c r="M50" s="10" t="n"/>
      <c r="N50" s="6" t="n"/>
      <c r="O50" s="9" t="n"/>
      <c r="P50" s="9" t="n"/>
      <c r="Q50" s="10" t="n"/>
      <c r="R50" s="9" t="n"/>
      <c r="S50" s="10" t="n"/>
      <c r="T50" s="6" t="n"/>
      <c r="U50" s="9" t="n"/>
      <c r="V50" s="10" t="n"/>
      <c r="W50" s="11">
        <f>IF($A50="","",(COUNTIF(I50,"✓")+ COUNTIF(K50,"✓")+ COUNTIF(M50,"✓")+ COUNTIF(Q50,"✓")+ COUNTIF(S50,"✓")+ COUNTIF(V50,"✓"))/6)</f>
        <v/>
      </c>
      <c r="X50" s="12">
        <f>IF($A50="","",IF(W50=1,"完了",IF(OR(AND(I50&lt;&gt;"✓",H50&lt;&gt;"",H50&lt;TODAY()),AND(K50&lt;&gt;"✓",J50&lt;&gt;"",J50&lt;TODAY()),AND(M50&lt;&gt;"✓",L50&lt;&gt;"",L50&lt;TODAY()),AND(Q50&lt;&gt;"✓",P50&lt;&gt;"",P50&lt;TODAY()),AND(S50&lt;&gt;"✓",R50&lt;&gt;"",R50&lt;TODAY()),AND(V50&lt;&gt;"✓",U50&lt;&gt;"",U50&lt;TODAY())),"遅延",IF(OR(AND(I50&lt;&gt;"✓",H50&lt;&gt;"",H50&lt;=TODAY()+7),AND(K50&lt;&gt;"✓",J50&lt;&gt;"",J50&lt;=TODAY()+7),AND(M50&lt;&gt;"✓",L50&lt;&gt;"",L50&lt;=TODAY()+7),AND(Q50&lt;&gt;"✓",P50&lt;&gt;"",P50&lt;=TODAY()+7),AND(S50&lt;&gt;"✓",R50&lt;&gt;"",R50&lt;=TODAY()+7),AND(V50&lt;&gt;"✓",U50&lt;&gt;"",U50&lt;=TODAY()+7)),"今週対応","進行中"))))</f>
        <v/>
      </c>
      <c r="Y50" s="13">
        <f>IF($A50="","",COUNTIFS(価格!$A$2:$A$251,$A50,価格!$B$2:$B$251,"PC"))</f>
        <v/>
      </c>
      <c r="Z50" s="13">
        <f>IF($A50="","",COUNTIFS(価格!$A$2:$A$251,$A50,価格!$B$2:$B$251,"オプション"))</f>
        <v/>
      </c>
      <c r="AA50" s="13">
        <f>IF($A50="","",COUNTIFS(価格!$A$2:$A$251,$A50)-COUNTIFS(価格!$A$2:$A$251,$A50,価格!$H$2:$H$251,"&gt;0",価格!$J$2:$J$251,"&gt;0"))</f>
        <v/>
      </c>
      <c r="AB50" s="14">
        <f>IF($A50="","",SUMIFS(価格!$N$2:$N$251,価格!$A$2:$A$251,$A50))</f>
        <v/>
      </c>
      <c r="AC50" s="6" t="n"/>
    </row>
    <row r="51">
      <c r="A51" s="6" t="n"/>
      <c r="B51" s="6" t="n"/>
      <c r="C51" s="6" t="n"/>
      <c r="D51" s="6" t="n"/>
      <c r="E51" s="8" t="n"/>
      <c r="F51" s="6" t="n"/>
      <c r="G51" s="6" t="n"/>
      <c r="H51" s="9" t="n"/>
      <c r="I51" s="10" t="n"/>
      <c r="J51" s="9" t="n"/>
      <c r="K51" s="10" t="n"/>
      <c r="L51" s="9" t="n"/>
      <c r="M51" s="10" t="n"/>
      <c r="N51" s="6" t="n"/>
      <c r="O51" s="9" t="n"/>
      <c r="P51" s="9" t="n"/>
      <c r="Q51" s="10" t="n"/>
      <c r="R51" s="9" t="n"/>
      <c r="S51" s="10" t="n"/>
      <c r="T51" s="6" t="n"/>
      <c r="U51" s="9" t="n"/>
      <c r="V51" s="10" t="n"/>
      <c r="W51" s="11">
        <f>IF($A51="","",(COUNTIF(I51,"✓")+ COUNTIF(K51,"✓")+ COUNTIF(M51,"✓")+ COUNTIF(Q51,"✓")+ COUNTIF(S51,"✓")+ COUNTIF(V51,"✓"))/6)</f>
        <v/>
      </c>
      <c r="X51" s="12">
        <f>IF($A51="","",IF(W51=1,"完了",IF(OR(AND(I51&lt;&gt;"✓",H51&lt;&gt;"",H51&lt;TODAY()),AND(K51&lt;&gt;"✓",J51&lt;&gt;"",J51&lt;TODAY()),AND(M51&lt;&gt;"✓",L51&lt;&gt;"",L51&lt;TODAY()),AND(Q51&lt;&gt;"✓",P51&lt;&gt;"",P51&lt;TODAY()),AND(S51&lt;&gt;"✓",R51&lt;&gt;"",R51&lt;TODAY()),AND(V51&lt;&gt;"✓",U51&lt;&gt;"",U51&lt;TODAY())),"遅延",IF(OR(AND(I51&lt;&gt;"✓",H51&lt;&gt;"",H51&lt;=TODAY()+7),AND(K51&lt;&gt;"✓",J51&lt;&gt;"",J51&lt;=TODAY()+7),AND(M51&lt;&gt;"✓",L51&lt;&gt;"",L51&lt;=TODAY()+7),AND(Q51&lt;&gt;"✓",P51&lt;&gt;"",P51&lt;=TODAY()+7),AND(S51&lt;&gt;"✓",R51&lt;&gt;"",R51&lt;=TODAY()+7),AND(V51&lt;&gt;"✓",U51&lt;&gt;"",U51&lt;=TODAY()+7)),"今週対応","進行中"))))</f>
        <v/>
      </c>
      <c r="Y51" s="13">
        <f>IF($A51="","",COUNTIFS(価格!$A$2:$A$251,$A51,価格!$B$2:$B$251,"PC"))</f>
        <v/>
      </c>
      <c r="Z51" s="13">
        <f>IF($A51="","",COUNTIFS(価格!$A$2:$A$251,$A51,価格!$B$2:$B$251,"オプション"))</f>
        <v/>
      </c>
      <c r="AA51" s="13">
        <f>IF($A51="","",COUNTIFS(価格!$A$2:$A$251,$A51)-COUNTIFS(価格!$A$2:$A$251,$A51,価格!$H$2:$H$251,"&gt;0",価格!$J$2:$J$251,"&gt;0"))</f>
        <v/>
      </c>
      <c r="AB51" s="14">
        <f>IF($A51="","",SUMIFS(価格!$N$2:$N$251,価格!$A$2:$A$251,$A51))</f>
        <v/>
      </c>
      <c r="AC51" s="6" t="n"/>
    </row>
    <row r="52">
      <c r="A52" s="6" t="n"/>
      <c r="B52" s="6" t="n"/>
      <c r="C52" s="6" t="n"/>
      <c r="D52" s="6" t="n"/>
      <c r="E52" s="8" t="n"/>
      <c r="F52" s="6" t="n"/>
      <c r="G52" s="6" t="n"/>
      <c r="H52" s="9" t="n"/>
      <c r="I52" s="10" t="n"/>
      <c r="J52" s="9" t="n"/>
      <c r="K52" s="10" t="n"/>
      <c r="L52" s="9" t="n"/>
      <c r="M52" s="10" t="n"/>
      <c r="N52" s="6" t="n"/>
      <c r="O52" s="9" t="n"/>
      <c r="P52" s="9" t="n"/>
      <c r="Q52" s="10" t="n"/>
      <c r="R52" s="9" t="n"/>
      <c r="S52" s="10" t="n"/>
      <c r="T52" s="6" t="n"/>
      <c r="U52" s="9" t="n"/>
      <c r="V52" s="10" t="n"/>
      <c r="W52" s="11">
        <f>IF($A52="","",(COUNTIF(I52,"✓")+ COUNTIF(K52,"✓")+ COUNTIF(M52,"✓")+ COUNTIF(Q52,"✓")+ COUNTIF(S52,"✓")+ COUNTIF(V52,"✓"))/6)</f>
        <v/>
      </c>
      <c r="X52" s="12">
        <f>IF($A52="","",IF(W52=1,"完了",IF(OR(AND(I52&lt;&gt;"✓",H52&lt;&gt;"",H52&lt;TODAY()),AND(K52&lt;&gt;"✓",J52&lt;&gt;"",J52&lt;TODAY()),AND(M52&lt;&gt;"✓",L52&lt;&gt;"",L52&lt;TODAY()),AND(Q52&lt;&gt;"✓",P52&lt;&gt;"",P52&lt;TODAY()),AND(S52&lt;&gt;"✓",R52&lt;&gt;"",R52&lt;TODAY()),AND(V52&lt;&gt;"✓",U52&lt;&gt;"",U52&lt;TODAY())),"遅延",IF(OR(AND(I52&lt;&gt;"✓",H52&lt;&gt;"",H52&lt;=TODAY()+7),AND(K52&lt;&gt;"✓",J52&lt;&gt;"",J52&lt;=TODAY()+7),AND(M52&lt;&gt;"✓",L52&lt;&gt;"",L52&lt;=TODAY()+7),AND(Q52&lt;&gt;"✓",P52&lt;&gt;"",P52&lt;=TODAY()+7),AND(S52&lt;&gt;"✓",R52&lt;&gt;"",R52&lt;=TODAY()+7),AND(V52&lt;&gt;"✓",U52&lt;&gt;"",U52&lt;=TODAY()+7)),"今週対応","進行中"))))</f>
        <v/>
      </c>
      <c r="Y52" s="13">
        <f>IF($A52="","",COUNTIFS(価格!$A$2:$A$251,$A52,価格!$B$2:$B$251,"PC"))</f>
        <v/>
      </c>
      <c r="Z52" s="13">
        <f>IF($A52="","",COUNTIFS(価格!$A$2:$A$251,$A52,価格!$B$2:$B$251,"オプション"))</f>
        <v/>
      </c>
      <c r="AA52" s="13">
        <f>IF($A52="","",COUNTIFS(価格!$A$2:$A$251,$A52)-COUNTIFS(価格!$A$2:$A$251,$A52,価格!$H$2:$H$251,"&gt;0",価格!$J$2:$J$251,"&gt;0"))</f>
        <v/>
      </c>
      <c r="AB52" s="14">
        <f>IF($A52="","",SUMIFS(価格!$N$2:$N$251,価格!$A$2:$A$251,$A52))</f>
        <v/>
      </c>
      <c r="AC52" s="6" t="n"/>
    </row>
    <row r="53">
      <c r="A53" s="6" t="n"/>
      <c r="B53" s="6" t="n"/>
      <c r="C53" s="6" t="n"/>
      <c r="D53" s="6" t="n"/>
      <c r="E53" s="8" t="n"/>
      <c r="F53" s="6" t="n"/>
      <c r="G53" s="6" t="n"/>
      <c r="H53" s="9" t="n"/>
      <c r="I53" s="10" t="n"/>
      <c r="J53" s="9" t="n"/>
      <c r="K53" s="10" t="n"/>
      <c r="L53" s="9" t="n"/>
      <c r="M53" s="10" t="n"/>
      <c r="N53" s="6" t="n"/>
      <c r="O53" s="9" t="n"/>
      <c r="P53" s="9" t="n"/>
      <c r="Q53" s="10" t="n"/>
      <c r="R53" s="9" t="n"/>
      <c r="S53" s="10" t="n"/>
      <c r="T53" s="6" t="n"/>
      <c r="U53" s="9" t="n"/>
      <c r="V53" s="10" t="n"/>
      <c r="W53" s="11">
        <f>IF($A53="","",(COUNTIF(I53,"✓")+ COUNTIF(K53,"✓")+ COUNTIF(M53,"✓")+ COUNTIF(Q53,"✓")+ COUNTIF(S53,"✓")+ COUNTIF(V53,"✓"))/6)</f>
        <v/>
      </c>
      <c r="X53" s="12">
        <f>IF($A53="","",IF(W53=1,"完了",IF(OR(AND(I53&lt;&gt;"✓",H53&lt;&gt;"",H53&lt;TODAY()),AND(K53&lt;&gt;"✓",J53&lt;&gt;"",J53&lt;TODAY()),AND(M53&lt;&gt;"✓",L53&lt;&gt;"",L53&lt;TODAY()),AND(Q53&lt;&gt;"✓",P53&lt;&gt;"",P53&lt;TODAY()),AND(S53&lt;&gt;"✓",R53&lt;&gt;"",R53&lt;TODAY()),AND(V53&lt;&gt;"✓",U53&lt;&gt;"",U53&lt;TODAY())),"遅延",IF(OR(AND(I53&lt;&gt;"✓",H53&lt;&gt;"",H53&lt;=TODAY()+7),AND(K53&lt;&gt;"✓",J53&lt;&gt;"",J53&lt;=TODAY()+7),AND(M53&lt;&gt;"✓",L53&lt;&gt;"",L53&lt;=TODAY()+7),AND(Q53&lt;&gt;"✓",P53&lt;&gt;"",P53&lt;=TODAY()+7),AND(S53&lt;&gt;"✓",R53&lt;&gt;"",R53&lt;=TODAY()+7),AND(V53&lt;&gt;"✓",U53&lt;&gt;"",U53&lt;=TODAY()+7)),"今週対応","進行中"))))</f>
        <v/>
      </c>
      <c r="Y53" s="13">
        <f>IF($A53="","",COUNTIFS(価格!$A$2:$A$251,$A53,価格!$B$2:$B$251,"PC"))</f>
        <v/>
      </c>
      <c r="Z53" s="13">
        <f>IF($A53="","",COUNTIFS(価格!$A$2:$A$251,$A53,価格!$B$2:$B$251,"オプション"))</f>
        <v/>
      </c>
      <c r="AA53" s="13">
        <f>IF($A53="","",COUNTIFS(価格!$A$2:$A$251,$A53)-COUNTIFS(価格!$A$2:$A$251,$A53,価格!$H$2:$H$251,"&gt;0",価格!$J$2:$J$251,"&gt;0"))</f>
        <v/>
      </c>
      <c r="AB53" s="14">
        <f>IF($A53="","",SUMIFS(価格!$N$2:$N$251,価格!$A$2:$A$251,$A53))</f>
        <v/>
      </c>
      <c r="AC53" s="6" t="n"/>
    </row>
    <row r="54">
      <c r="A54" s="6" t="n"/>
      <c r="B54" s="6" t="n"/>
      <c r="C54" s="6" t="n"/>
      <c r="D54" s="6" t="n"/>
      <c r="E54" s="8" t="n"/>
      <c r="F54" s="6" t="n"/>
      <c r="G54" s="6" t="n"/>
      <c r="H54" s="9" t="n"/>
      <c r="I54" s="10" t="n"/>
      <c r="J54" s="9" t="n"/>
      <c r="K54" s="10" t="n"/>
      <c r="L54" s="9" t="n"/>
      <c r="M54" s="10" t="n"/>
      <c r="N54" s="6" t="n"/>
      <c r="O54" s="9" t="n"/>
      <c r="P54" s="9" t="n"/>
      <c r="Q54" s="10" t="n"/>
      <c r="R54" s="9" t="n"/>
      <c r="S54" s="10" t="n"/>
      <c r="T54" s="6" t="n"/>
      <c r="U54" s="9" t="n"/>
      <c r="V54" s="10" t="n"/>
      <c r="W54" s="11">
        <f>IF($A54="","",(COUNTIF(I54,"✓")+ COUNTIF(K54,"✓")+ COUNTIF(M54,"✓")+ COUNTIF(Q54,"✓")+ COUNTIF(S54,"✓")+ COUNTIF(V54,"✓"))/6)</f>
        <v/>
      </c>
      <c r="X54" s="12">
        <f>IF($A54="","",IF(W54=1,"完了",IF(OR(AND(I54&lt;&gt;"✓",H54&lt;&gt;"",H54&lt;TODAY()),AND(K54&lt;&gt;"✓",J54&lt;&gt;"",J54&lt;TODAY()),AND(M54&lt;&gt;"✓",L54&lt;&gt;"",L54&lt;TODAY()),AND(Q54&lt;&gt;"✓",P54&lt;&gt;"",P54&lt;TODAY()),AND(S54&lt;&gt;"✓",R54&lt;&gt;"",R54&lt;TODAY()),AND(V54&lt;&gt;"✓",U54&lt;&gt;"",U54&lt;TODAY())),"遅延",IF(OR(AND(I54&lt;&gt;"✓",H54&lt;&gt;"",H54&lt;=TODAY()+7),AND(K54&lt;&gt;"✓",J54&lt;&gt;"",J54&lt;=TODAY()+7),AND(M54&lt;&gt;"✓",L54&lt;&gt;"",L54&lt;=TODAY()+7),AND(Q54&lt;&gt;"✓",P54&lt;&gt;"",P54&lt;=TODAY()+7),AND(S54&lt;&gt;"✓",R54&lt;&gt;"",R54&lt;=TODAY()+7),AND(V54&lt;&gt;"✓",U54&lt;&gt;"",U54&lt;=TODAY()+7)),"今週対応","進行中"))))</f>
        <v/>
      </c>
      <c r="Y54" s="13">
        <f>IF($A54="","",COUNTIFS(価格!$A$2:$A$251,$A54,価格!$B$2:$B$251,"PC"))</f>
        <v/>
      </c>
      <c r="Z54" s="13">
        <f>IF($A54="","",COUNTIFS(価格!$A$2:$A$251,$A54,価格!$B$2:$B$251,"オプション"))</f>
        <v/>
      </c>
      <c r="AA54" s="13">
        <f>IF($A54="","",COUNTIFS(価格!$A$2:$A$251,$A54)-COUNTIFS(価格!$A$2:$A$251,$A54,価格!$H$2:$H$251,"&gt;0",価格!$J$2:$J$251,"&gt;0"))</f>
        <v/>
      </c>
      <c r="AB54" s="14">
        <f>IF($A54="","",SUMIFS(価格!$N$2:$N$251,価格!$A$2:$A$251,$A54))</f>
        <v/>
      </c>
      <c r="AC54" s="6" t="n"/>
    </row>
    <row r="55">
      <c r="A55" s="6" t="n"/>
      <c r="B55" s="6" t="n"/>
      <c r="C55" s="6" t="n"/>
      <c r="D55" s="6" t="n"/>
      <c r="E55" s="8" t="n"/>
      <c r="F55" s="6" t="n"/>
      <c r="G55" s="6" t="n"/>
      <c r="H55" s="9" t="n"/>
      <c r="I55" s="10" t="n"/>
      <c r="J55" s="9" t="n"/>
      <c r="K55" s="10" t="n"/>
      <c r="L55" s="9" t="n"/>
      <c r="M55" s="10" t="n"/>
      <c r="N55" s="6" t="n"/>
      <c r="O55" s="9" t="n"/>
      <c r="P55" s="9" t="n"/>
      <c r="Q55" s="10" t="n"/>
      <c r="R55" s="9" t="n"/>
      <c r="S55" s="10" t="n"/>
      <c r="T55" s="6" t="n"/>
      <c r="U55" s="9" t="n"/>
      <c r="V55" s="10" t="n"/>
      <c r="W55" s="11">
        <f>IF($A55="","",(COUNTIF(I55,"✓")+ COUNTIF(K55,"✓")+ COUNTIF(M55,"✓")+ COUNTIF(Q55,"✓")+ COUNTIF(S55,"✓")+ COUNTIF(V55,"✓"))/6)</f>
        <v/>
      </c>
      <c r="X55" s="12">
        <f>IF($A55="","",IF(W55=1,"完了",IF(OR(AND(I55&lt;&gt;"✓",H55&lt;&gt;"",H55&lt;TODAY()),AND(K55&lt;&gt;"✓",J55&lt;&gt;"",J55&lt;TODAY()),AND(M55&lt;&gt;"✓",L55&lt;&gt;"",L55&lt;TODAY()),AND(Q55&lt;&gt;"✓",P55&lt;&gt;"",P55&lt;TODAY()),AND(S55&lt;&gt;"✓",R55&lt;&gt;"",R55&lt;TODAY()),AND(V55&lt;&gt;"✓",U55&lt;&gt;"",U55&lt;TODAY())),"遅延",IF(OR(AND(I55&lt;&gt;"✓",H55&lt;&gt;"",H55&lt;=TODAY()+7),AND(K55&lt;&gt;"✓",J55&lt;&gt;"",J55&lt;=TODAY()+7),AND(M55&lt;&gt;"✓",L55&lt;&gt;"",L55&lt;=TODAY()+7),AND(Q55&lt;&gt;"✓",P55&lt;&gt;"",P55&lt;=TODAY()+7),AND(S55&lt;&gt;"✓",R55&lt;&gt;"",R55&lt;=TODAY()+7),AND(V55&lt;&gt;"✓",U55&lt;&gt;"",U55&lt;=TODAY()+7)),"今週対応","進行中"))))</f>
        <v/>
      </c>
      <c r="Y55" s="13">
        <f>IF($A55="","",COUNTIFS(価格!$A$2:$A$251,$A55,価格!$B$2:$B$251,"PC"))</f>
        <v/>
      </c>
      <c r="Z55" s="13">
        <f>IF($A55="","",COUNTIFS(価格!$A$2:$A$251,$A55,価格!$B$2:$B$251,"オプション"))</f>
        <v/>
      </c>
      <c r="AA55" s="13">
        <f>IF($A55="","",COUNTIFS(価格!$A$2:$A$251,$A55)-COUNTIFS(価格!$A$2:$A$251,$A55,価格!$H$2:$H$251,"&gt;0",価格!$J$2:$J$251,"&gt;0"))</f>
        <v/>
      </c>
      <c r="AB55" s="14">
        <f>IF($A55="","",SUMIFS(価格!$N$2:$N$251,価格!$A$2:$A$251,$A55))</f>
        <v/>
      </c>
      <c r="AC55" s="6" t="n"/>
    </row>
    <row r="56">
      <c r="A56" s="6" t="n"/>
      <c r="B56" s="6" t="n"/>
      <c r="C56" s="6" t="n"/>
      <c r="D56" s="6" t="n"/>
      <c r="E56" s="8" t="n"/>
      <c r="F56" s="6" t="n"/>
      <c r="G56" s="6" t="n"/>
      <c r="H56" s="9" t="n"/>
      <c r="I56" s="10" t="n"/>
      <c r="J56" s="9" t="n"/>
      <c r="K56" s="10" t="n"/>
      <c r="L56" s="9" t="n"/>
      <c r="M56" s="10" t="n"/>
      <c r="N56" s="6" t="n"/>
      <c r="O56" s="9" t="n"/>
      <c r="P56" s="9" t="n"/>
      <c r="Q56" s="10" t="n"/>
      <c r="R56" s="9" t="n"/>
      <c r="S56" s="10" t="n"/>
      <c r="T56" s="6" t="n"/>
      <c r="U56" s="9" t="n"/>
      <c r="V56" s="10" t="n"/>
      <c r="W56" s="11">
        <f>IF($A56="","",(COUNTIF(I56,"✓")+ COUNTIF(K56,"✓")+ COUNTIF(M56,"✓")+ COUNTIF(Q56,"✓")+ COUNTIF(S56,"✓")+ COUNTIF(V56,"✓"))/6)</f>
        <v/>
      </c>
      <c r="X56" s="12">
        <f>IF($A56="","",IF(W56=1,"完了",IF(OR(AND(I56&lt;&gt;"✓",H56&lt;&gt;"",H56&lt;TODAY()),AND(K56&lt;&gt;"✓",J56&lt;&gt;"",J56&lt;TODAY()),AND(M56&lt;&gt;"✓",L56&lt;&gt;"",L56&lt;TODAY()),AND(Q56&lt;&gt;"✓",P56&lt;&gt;"",P56&lt;TODAY()),AND(S56&lt;&gt;"✓",R56&lt;&gt;"",R56&lt;TODAY()),AND(V56&lt;&gt;"✓",U56&lt;&gt;"",U56&lt;TODAY())),"遅延",IF(OR(AND(I56&lt;&gt;"✓",H56&lt;&gt;"",H56&lt;=TODAY()+7),AND(K56&lt;&gt;"✓",J56&lt;&gt;"",J56&lt;=TODAY()+7),AND(M56&lt;&gt;"✓",L56&lt;&gt;"",L56&lt;=TODAY()+7),AND(Q56&lt;&gt;"✓",P56&lt;&gt;"",P56&lt;=TODAY()+7),AND(S56&lt;&gt;"✓",R56&lt;&gt;"",R56&lt;=TODAY()+7),AND(V56&lt;&gt;"✓",U56&lt;&gt;"",U56&lt;=TODAY()+7)),"今週対応","進行中"))))</f>
        <v/>
      </c>
      <c r="Y56" s="13">
        <f>IF($A56="","",COUNTIFS(価格!$A$2:$A$251,$A56,価格!$B$2:$B$251,"PC"))</f>
        <v/>
      </c>
      <c r="Z56" s="13">
        <f>IF($A56="","",COUNTIFS(価格!$A$2:$A$251,$A56,価格!$B$2:$B$251,"オプション"))</f>
        <v/>
      </c>
      <c r="AA56" s="13">
        <f>IF($A56="","",COUNTIFS(価格!$A$2:$A$251,$A56)-COUNTIFS(価格!$A$2:$A$251,$A56,価格!$H$2:$H$251,"&gt;0",価格!$J$2:$J$251,"&gt;0"))</f>
        <v/>
      </c>
      <c r="AB56" s="14">
        <f>IF($A56="","",SUMIFS(価格!$N$2:$N$251,価格!$A$2:$A$251,$A56))</f>
        <v/>
      </c>
      <c r="AC56" s="6" t="n"/>
    </row>
    <row r="57">
      <c r="A57" s="6" t="n"/>
      <c r="B57" s="6" t="n"/>
      <c r="C57" s="6" t="n"/>
      <c r="D57" s="6" t="n"/>
      <c r="E57" s="8" t="n"/>
      <c r="F57" s="6" t="n"/>
      <c r="G57" s="6" t="n"/>
      <c r="H57" s="9" t="n"/>
      <c r="I57" s="10" t="n"/>
      <c r="J57" s="9" t="n"/>
      <c r="K57" s="10" t="n"/>
      <c r="L57" s="9" t="n"/>
      <c r="M57" s="10" t="n"/>
      <c r="N57" s="6" t="n"/>
      <c r="O57" s="9" t="n"/>
      <c r="P57" s="9" t="n"/>
      <c r="Q57" s="10" t="n"/>
      <c r="R57" s="9" t="n"/>
      <c r="S57" s="10" t="n"/>
      <c r="T57" s="6" t="n"/>
      <c r="U57" s="9" t="n"/>
      <c r="V57" s="10" t="n"/>
      <c r="W57" s="11">
        <f>IF($A57="","",(COUNTIF(I57,"✓")+ COUNTIF(K57,"✓")+ COUNTIF(M57,"✓")+ COUNTIF(Q57,"✓")+ COUNTIF(S57,"✓")+ COUNTIF(V57,"✓"))/6)</f>
        <v/>
      </c>
      <c r="X57" s="12">
        <f>IF($A57="","",IF(W57=1,"完了",IF(OR(AND(I57&lt;&gt;"✓",H57&lt;&gt;"",H57&lt;TODAY()),AND(K57&lt;&gt;"✓",J57&lt;&gt;"",J57&lt;TODAY()),AND(M57&lt;&gt;"✓",L57&lt;&gt;"",L57&lt;TODAY()),AND(Q57&lt;&gt;"✓",P57&lt;&gt;"",P57&lt;TODAY()),AND(S57&lt;&gt;"✓",R57&lt;&gt;"",R57&lt;TODAY()),AND(V57&lt;&gt;"✓",U57&lt;&gt;"",U57&lt;TODAY())),"遅延",IF(OR(AND(I57&lt;&gt;"✓",H57&lt;&gt;"",H57&lt;=TODAY()+7),AND(K57&lt;&gt;"✓",J57&lt;&gt;"",J57&lt;=TODAY()+7),AND(M57&lt;&gt;"✓",L57&lt;&gt;"",L57&lt;=TODAY()+7),AND(Q57&lt;&gt;"✓",P57&lt;&gt;"",P57&lt;=TODAY()+7),AND(S57&lt;&gt;"✓",R57&lt;&gt;"",R57&lt;=TODAY()+7),AND(V57&lt;&gt;"✓",U57&lt;&gt;"",U57&lt;=TODAY()+7)),"今週対応","進行中"))))</f>
        <v/>
      </c>
      <c r="Y57" s="13">
        <f>IF($A57="","",COUNTIFS(価格!$A$2:$A$251,$A57,価格!$B$2:$B$251,"PC"))</f>
        <v/>
      </c>
      <c r="Z57" s="13">
        <f>IF($A57="","",COUNTIFS(価格!$A$2:$A$251,$A57,価格!$B$2:$B$251,"オプション"))</f>
        <v/>
      </c>
      <c r="AA57" s="13">
        <f>IF($A57="","",COUNTIFS(価格!$A$2:$A$251,$A57)-COUNTIFS(価格!$A$2:$A$251,$A57,価格!$H$2:$H$251,"&gt;0",価格!$J$2:$J$251,"&gt;0"))</f>
        <v/>
      </c>
      <c r="AB57" s="14">
        <f>IF($A57="","",SUMIFS(価格!$N$2:$N$251,価格!$A$2:$A$251,$A57))</f>
        <v/>
      </c>
      <c r="AC57" s="6" t="n"/>
    </row>
    <row r="58">
      <c r="A58" s="6" t="n"/>
      <c r="B58" s="6" t="n"/>
      <c r="C58" s="6" t="n"/>
      <c r="D58" s="6" t="n"/>
      <c r="E58" s="8" t="n"/>
      <c r="F58" s="6" t="n"/>
      <c r="G58" s="6" t="n"/>
      <c r="H58" s="9" t="n"/>
      <c r="I58" s="10" t="n"/>
      <c r="J58" s="9" t="n"/>
      <c r="K58" s="10" t="n"/>
      <c r="L58" s="9" t="n"/>
      <c r="M58" s="10" t="n"/>
      <c r="N58" s="6" t="n"/>
      <c r="O58" s="9" t="n"/>
      <c r="P58" s="9" t="n"/>
      <c r="Q58" s="10" t="n"/>
      <c r="R58" s="9" t="n"/>
      <c r="S58" s="10" t="n"/>
      <c r="T58" s="6" t="n"/>
      <c r="U58" s="9" t="n"/>
      <c r="V58" s="10" t="n"/>
      <c r="W58" s="11">
        <f>IF($A58="","",(COUNTIF(I58,"✓")+ COUNTIF(K58,"✓")+ COUNTIF(M58,"✓")+ COUNTIF(Q58,"✓")+ COUNTIF(S58,"✓")+ COUNTIF(V58,"✓"))/6)</f>
        <v/>
      </c>
      <c r="X58" s="12">
        <f>IF($A58="","",IF(W58=1,"完了",IF(OR(AND(I58&lt;&gt;"✓",H58&lt;&gt;"",H58&lt;TODAY()),AND(K58&lt;&gt;"✓",J58&lt;&gt;"",J58&lt;TODAY()),AND(M58&lt;&gt;"✓",L58&lt;&gt;"",L58&lt;TODAY()),AND(Q58&lt;&gt;"✓",P58&lt;&gt;"",P58&lt;TODAY()),AND(S58&lt;&gt;"✓",R58&lt;&gt;"",R58&lt;TODAY()),AND(V58&lt;&gt;"✓",U58&lt;&gt;"",U58&lt;TODAY())),"遅延",IF(OR(AND(I58&lt;&gt;"✓",H58&lt;&gt;"",H58&lt;=TODAY()+7),AND(K58&lt;&gt;"✓",J58&lt;&gt;"",J58&lt;=TODAY()+7),AND(M58&lt;&gt;"✓",L58&lt;&gt;"",L58&lt;=TODAY()+7),AND(Q58&lt;&gt;"✓",P58&lt;&gt;"",P58&lt;=TODAY()+7),AND(S58&lt;&gt;"✓",R58&lt;&gt;"",R58&lt;=TODAY()+7),AND(V58&lt;&gt;"✓",U58&lt;&gt;"",U58&lt;=TODAY()+7)),"今週対応","進行中"))))</f>
        <v/>
      </c>
      <c r="Y58" s="13">
        <f>IF($A58="","",COUNTIFS(価格!$A$2:$A$251,$A58,価格!$B$2:$B$251,"PC"))</f>
        <v/>
      </c>
      <c r="Z58" s="13">
        <f>IF($A58="","",COUNTIFS(価格!$A$2:$A$251,$A58,価格!$B$2:$B$251,"オプション"))</f>
        <v/>
      </c>
      <c r="AA58" s="13">
        <f>IF($A58="","",COUNTIFS(価格!$A$2:$A$251,$A58)-COUNTIFS(価格!$A$2:$A$251,$A58,価格!$H$2:$H$251,"&gt;0",価格!$J$2:$J$251,"&gt;0"))</f>
        <v/>
      </c>
      <c r="AB58" s="14">
        <f>IF($A58="","",SUMIFS(価格!$N$2:$N$251,価格!$A$2:$A$251,$A58))</f>
        <v/>
      </c>
      <c r="AC58" s="6" t="n"/>
    </row>
    <row r="59">
      <c r="A59" s="6" t="n"/>
      <c r="B59" s="6" t="n"/>
      <c r="C59" s="6" t="n"/>
      <c r="D59" s="6" t="n"/>
      <c r="E59" s="8" t="n"/>
      <c r="F59" s="6" t="n"/>
      <c r="G59" s="6" t="n"/>
      <c r="H59" s="9" t="n"/>
      <c r="I59" s="10" t="n"/>
      <c r="J59" s="9" t="n"/>
      <c r="K59" s="10" t="n"/>
      <c r="L59" s="9" t="n"/>
      <c r="M59" s="10" t="n"/>
      <c r="N59" s="6" t="n"/>
      <c r="O59" s="9" t="n"/>
      <c r="P59" s="9" t="n"/>
      <c r="Q59" s="10" t="n"/>
      <c r="R59" s="9" t="n"/>
      <c r="S59" s="10" t="n"/>
      <c r="T59" s="6" t="n"/>
      <c r="U59" s="9" t="n"/>
      <c r="V59" s="10" t="n"/>
      <c r="W59" s="11">
        <f>IF($A59="","",(COUNTIF(I59,"✓")+ COUNTIF(K59,"✓")+ COUNTIF(M59,"✓")+ COUNTIF(Q59,"✓")+ COUNTIF(S59,"✓")+ COUNTIF(V59,"✓"))/6)</f>
        <v/>
      </c>
      <c r="X59" s="12">
        <f>IF($A59="","",IF(W59=1,"完了",IF(OR(AND(I59&lt;&gt;"✓",H59&lt;&gt;"",H59&lt;TODAY()),AND(K59&lt;&gt;"✓",J59&lt;&gt;"",J59&lt;TODAY()),AND(M59&lt;&gt;"✓",L59&lt;&gt;"",L59&lt;TODAY()),AND(Q59&lt;&gt;"✓",P59&lt;&gt;"",P59&lt;TODAY()),AND(S59&lt;&gt;"✓",R59&lt;&gt;"",R59&lt;TODAY()),AND(V59&lt;&gt;"✓",U59&lt;&gt;"",U59&lt;TODAY())),"遅延",IF(OR(AND(I59&lt;&gt;"✓",H59&lt;&gt;"",H59&lt;=TODAY()+7),AND(K59&lt;&gt;"✓",J59&lt;&gt;"",J59&lt;=TODAY()+7),AND(M59&lt;&gt;"✓",L59&lt;&gt;"",L59&lt;=TODAY()+7),AND(Q59&lt;&gt;"✓",P59&lt;&gt;"",P59&lt;=TODAY()+7),AND(S59&lt;&gt;"✓",R59&lt;&gt;"",R59&lt;=TODAY()+7),AND(V59&lt;&gt;"✓",U59&lt;&gt;"",U59&lt;=TODAY()+7)),"今週対応","進行中"))))</f>
        <v/>
      </c>
      <c r="Y59" s="13">
        <f>IF($A59="","",COUNTIFS(価格!$A$2:$A$251,$A59,価格!$B$2:$B$251,"PC"))</f>
        <v/>
      </c>
      <c r="Z59" s="13">
        <f>IF($A59="","",COUNTIFS(価格!$A$2:$A$251,$A59,価格!$B$2:$B$251,"オプション"))</f>
        <v/>
      </c>
      <c r="AA59" s="13">
        <f>IF($A59="","",COUNTIFS(価格!$A$2:$A$251,$A59)-COUNTIFS(価格!$A$2:$A$251,$A59,価格!$H$2:$H$251,"&gt;0",価格!$J$2:$J$251,"&gt;0"))</f>
        <v/>
      </c>
      <c r="AB59" s="14">
        <f>IF($A59="","",SUMIFS(価格!$N$2:$N$251,価格!$A$2:$A$251,$A59))</f>
        <v/>
      </c>
      <c r="AC59" s="6" t="n"/>
    </row>
    <row r="60">
      <c r="A60" s="6" t="n"/>
      <c r="B60" s="6" t="n"/>
      <c r="C60" s="6" t="n"/>
      <c r="D60" s="6" t="n"/>
      <c r="E60" s="8" t="n"/>
      <c r="F60" s="6" t="n"/>
      <c r="G60" s="6" t="n"/>
      <c r="H60" s="9" t="n"/>
      <c r="I60" s="10" t="n"/>
      <c r="J60" s="9" t="n"/>
      <c r="K60" s="10" t="n"/>
      <c r="L60" s="9" t="n"/>
      <c r="M60" s="10" t="n"/>
      <c r="N60" s="6" t="n"/>
      <c r="O60" s="9" t="n"/>
      <c r="P60" s="9" t="n"/>
      <c r="Q60" s="10" t="n"/>
      <c r="R60" s="9" t="n"/>
      <c r="S60" s="10" t="n"/>
      <c r="T60" s="6" t="n"/>
      <c r="U60" s="9" t="n"/>
      <c r="V60" s="10" t="n"/>
      <c r="W60" s="11">
        <f>IF($A60="","",(COUNTIF(I60,"✓")+ COUNTIF(K60,"✓")+ COUNTIF(M60,"✓")+ COUNTIF(Q60,"✓")+ COUNTIF(S60,"✓")+ COUNTIF(V60,"✓"))/6)</f>
        <v/>
      </c>
      <c r="X60" s="12">
        <f>IF($A60="","",IF(W60=1,"完了",IF(OR(AND(I60&lt;&gt;"✓",H60&lt;&gt;"",H60&lt;TODAY()),AND(K60&lt;&gt;"✓",J60&lt;&gt;"",J60&lt;TODAY()),AND(M60&lt;&gt;"✓",L60&lt;&gt;"",L60&lt;TODAY()),AND(Q60&lt;&gt;"✓",P60&lt;&gt;"",P60&lt;TODAY()),AND(S60&lt;&gt;"✓",R60&lt;&gt;"",R60&lt;TODAY()),AND(V60&lt;&gt;"✓",U60&lt;&gt;"",U60&lt;TODAY())),"遅延",IF(OR(AND(I60&lt;&gt;"✓",H60&lt;&gt;"",H60&lt;=TODAY()+7),AND(K60&lt;&gt;"✓",J60&lt;&gt;"",J60&lt;=TODAY()+7),AND(M60&lt;&gt;"✓",L60&lt;&gt;"",L60&lt;=TODAY()+7),AND(Q60&lt;&gt;"✓",P60&lt;&gt;"",P60&lt;=TODAY()+7),AND(S60&lt;&gt;"✓",R60&lt;&gt;"",R60&lt;=TODAY()+7),AND(V60&lt;&gt;"✓",U60&lt;&gt;"",U60&lt;=TODAY()+7)),"今週対応","進行中"))))</f>
        <v/>
      </c>
      <c r="Y60" s="13">
        <f>IF($A60="","",COUNTIFS(価格!$A$2:$A$251,$A60,価格!$B$2:$B$251,"PC"))</f>
        <v/>
      </c>
      <c r="Z60" s="13">
        <f>IF($A60="","",COUNTIFS(価格!$A$2:$A$251,$A60,価格!$B$2:$B$251,"オプション"))</f>
        <v/>
      </c>
      <c r="AA60" s="13">
        <f>IF($A60="","",COUNTIFS(価格!$A$2:$A$251,$A60)-COUNTIFS(価格!$A$2:$A$251,$A60,価格!$H$2:$H$251,"&gt;0",価格!$J$2:$J$251,"&gt;0"))</f>
        <v/>
      </c>
      <c r="AB60" s="14">
        <f>IF($A60="","",SUMIFS(価格!$N$2:$N$251,価格!$A$2:$A$251,$A60))</f>
        <v/>
      </c>
      <c r="AC60" s="6" t="n"/>
    </row>
    <row r="61">
      <c r="A61" s="6" t="n"/>
      <c r="B61" s="6" t="n"/>
      <c r="C61" s="6" t="n"/>
      <c r="D61" s="6" t="n"/>
      <c r="E61" s="8" t="n"/>
      <c r="F61" s="6" t="n"/>
      <c r="G61" s="6" t="n"/>
      <c r="H61" s="9" t="n"/>
      <c r="I61" s="10" t="n"/>
      <c r="J61" s="9" t="n"/>
      <c r="K61" s="10" t="n"/>
      <c r="L61" s="9" t="n"/>
      <c r="M61" s="10" t="n"/>
      <c r="N61" s="6" t="n"/>
      <c r="O61" s="9" t="n"/>
      <c r="P61" s="9" t="n"/>
      <c r="Q61" s="10" t="n"/>
      <c r="R61" s="9" t="n"/>
      <c r="S61" s="10" t="n"/>
      <c r="T61" s="6" t="n"/>
      <c r="U61" s="9" t="n"/>
      <c r="V61" s="10" t="n"/>
      <c r="W61" s="11">
        <f>IF($A61="","",(COUNTIF(I61,"✓")+ COUNTIF(K61,"✓")+ COUNTIF(M61,"✓")+ COUNTIF(Q61,"✓")+ COUNTIF(S61,"✓")+ COUNTIF(V61,"✓"))/6)</f>
        <v/>
      </c>
      <c r="X61" s="12">
        <f>IF($A61="","",IF(W61=1,"完了",IF(OR(AND(I61&lt;&gt;"✓",H61&lt;&gt;"",H61&lt;TODAY()),AND(K61&lt;&gt;"✓",J61&lt;&gt;"",J61&lt;TODAY()),AND(M61&lt;&gt;"✓",L61&lt;&gt;"",L61&lt;TODAY()),AND(Q61&lt;&gt;"✓",P61&lt;&gt;"",P61&lt;TODAY()),AND(S61&lt;&gt;"✓",R61&lt;&gt;"",R61&lt;TODAY()),AND(V61&lt;&gt;"✓",U61&lt;&gt;"",U61&lt;TODAY())),"遅延",IF(OR(AND(I61&lt;&gt;"✓",H61&lt;&gt;"",H61&lt;=TODAY()+7),AND(K61&lt;&gt;"✓",J61&lt;&gt;"",J61&lt;=TODAY()+7),AND(M61&lt;&gt;"✓",L61&lt;&gt;"",L61&lt;=TODAY()+7),AND(Q61&lt;&gt;"✓",P61&lt;&gt;"",P61&lt;=TODAY()+7),AND(S61&lt;&gt;"✓",R61&lt;&gt;"",R61&lt;=TODAY()+7),AND(V61&lt;&gt;"✓",U61&lt;&gt;"",U61&lt;=TODAY()+7)),"今週対応","進行中"))))</f>
        <v/>
      </c>
      <c r="Y61" s="13">
        <f>IF($A61="","",COUNTIFS(価格!$A$2:$A$251,$A61,価格!$B$2:$B$251,"PC"))</f>
        <v/>
      </c>
      <c r="Z61" s="13">
        <f>IF($A61="","",COUNTIFS(価格!$A$2:$A$251,$A61,価格!$B$2:$B$251,"オプション"))</f>
        <v/>
      </c>
      <c r="AA61" s="13">
        <f>IF($A61="","",COUNTIFS(価格!$A$2:$A$251,$A61)-COUNTIFS(価格!$A$2:$A$251,$A61,価格!$H$2:$H$251,"&gt;0",価格!$J$2:$J$251,"&gt;0"))</f>
        <v/>
      </c>
      <c r="AB61" s="14">
        <f>IF($A61="","",SUMIFS(価格!$N$2:$N$251,価格!$A$2:$A$251,$A61))</f>
        <v/>
      </c>
      <c r="AC61" s="6" t="n"/>
    </row>
    <row r="62">
      <c r="A62" s="6" t="n"/>
      <c r="B62" s="6" t="n"/>
      <c r="C62" s="6" t="n"/>
      <c r="D62" s="6" t="n"/>
      <c r="E62" s="8" t="n"/>
      <c r="F62" s="6" t="n"/>
      <c r="G62" s="6" t="n"/>
      <c r="H62" s="9" t="n"/>
      <c r="I62" s="10" t="n"/>
      <c r="J62" s="9" t="n"/>
      <c r="K62" s="10" t="n"/>
      <c r="L62" s="9" t="n"/>
      <c r="M62" s="10" t="n"/>
      <c r="N62" s="6" t="n"/>
      <c r="O62" s="9" t="n"/>
      <c r="P62" s="9" t="n"/>
      <c r="Q62" s="10" t="n"/>
      <c r="R62" s="9" t="n"/>
      <c r="S62" s="10" t="n"/>
      <c r="T62" s="6" t="n"/>
      <c r="U62" s="9" t="n"/>
      <c r="V62" s="10" t="n"/>
      <c r="W62" s="11">
        <f>IF($A62="","",(COUNTIF(I62,"✓")+ COUNTIF(K62,"✓")+ COUNTIF(M62,"✓")+ COUNTIF(Q62,"✓")+ COUNTIF(S62,"✓")+ COUNTIF(V62,"✓"))/6)</f>
        <v/>
      </c>
      <c r="X62" s="12">
        <f>IF($A62="","",IF(W62=1,"完了",IF(OR(AND(I62&lt;&gt;"✓",H62&lt;&gt;"",H62&lt;TODAY()),AND(K62&lt;&gt;"✓",J62&lt;&gt;"",J62&lt;TODAY()),AND(M62&lt;&gt;"✓",L62&lt;&gt;"",L62&lt;TODAY()),AND(Q62&lt;&gt;"✓",P62&lt;&gt;"",P62&lt;TODAY()),AND(S62&lt;&gt;"✓",R62&lt;&gt;"",R62&lt;TODAY()),AND(V62&lt;&gt;"✓",U62&lt;&gt;"",U62&lt;TODAY())),"遅延",IF(OR(AND(I62&lt;&gt;"✓",H62&lt;&gt;"",H62&lt;=TODAY()+7),AND(K62&lt;&gt;"✓",J62&lt;&gt;"",J62&lt;=TODAY()+7),AND(M62&lt;&gt;"✓",L62&lt;&gt;"",L62&lt;=TODAY()+7),AND(Q62&lt;&gt;"✓",P62&lt;&gt;"",P62&lt;=TODAY()+7),AND(S62&lt;&gt;"✓",R62&lt;&gt;"",R62&lt;=TODAY()+7),AND(V62&lt;&gt;"✓",U62&lt;&gt;"",U62&lt;=TODAY()+7)),"今週対応","進行中"))))</f>
        <v/>
      </c>
      <c r="Y62" s="13">
        <f>IF($A62="","",COUNTIFS(価格!$A$2:$A$251,$A62,価格!$B$2:$B$251,"PC"))</f>
        <v/>
      </c>
      <c r="Z62" s="13">
        <f>IF($A62="","",COUNTIFS(価格!$A$2:$A$251,$A62,価格!$B$2:$B$251,"オプション"))</f>
        <v/>
      </c>
      <c r="AA62" s="13">
        <f>IF($A62="","",COUNTIFS(価格!$A$2:$A$251,$A62)-COUNTIFS(価格!$A$2:$A$251,$A62,価格!$H$2:$H$251,"&gt;0",価格!$J$2:$J$251,"&gt;0"))</f>
        <v/>
      </c>
      <c r="AB62" s="14">
        <f>IF($A62="","",SUMIFS(価格!$N$2:$N$251,価格!$A$2:$A$251,$A62))</f>
        <v/>
      </c>
      <c r="AC62" s="6" t="n"/>
    </row>
    <row r="63">
      <c r="A63" s="6" t="n"/>
      <c r="B63" s="6" t="n"/>
      <c r="C63" s="6" t="n"/>
      <c r="D63" s="6" t="n"/>
      <c r="E63" s="8" t="n"/>
      <c r="F63" s="6" t="n"/>
      <c r="G63" s="6" t="n"/>
      <c r="H63" s="9" t="n"/>
      <c r="I63" s="10" t="n"/>
      <c r="J63" s="9" t="n"/>
      <c r="K63" s="10" t="n"/>
      <c r="L63" s="9" t="n"/>
      <c r="M63" s="10" t="n"/>
      <c r="N63" s="6" t="n"/>
      <c r="O63" s="9" t="n"/>
      <c r="P63" s="9" t="n"/>
      <c r="Q63" s="10" t="n"/>
      <c r="R63" s="9" t="n"/>
      <c r="S63" s="10" t="n"/>
      <c r="T63" s="6" t="n"/>
      <c r="U63" s="9" t="n"/>
      <c r="V63" s="10" t="n"/>
      <c r="W63" s="11">
        <f>IF($A63="","",(COUNTIF(I63,"✓")+ COUNTIF(K63,"✓")+ COUNTIF(M63,"✓")+ COUNTIF(Q63,"✓")+ COUNTIF(S63,"✓")+ COUNTIF(V63,"✓"))/6)</f>
        <v/>
      </c>
      <c r="X63" s="12">
        <f>IF($A63="","",IF(W63=1,"完了",IF(OR(AND(I63&lt;&gt;"✓",H63&lt;&gt;"",H63&lt;TODAY()),AND(K63&lt;&gt;"✓",J63&lt;&gt;"",J63&lt;TODAY()),AND(M63&lt;&gt;"✓",L63&lt;&gt;"",L63&lt;TODAY()),AND(Q63&lt;&gt;"✓",P63&lt;&gt;"",P63&lt;TODAY()),AND(S63&lt;&gt;"✓",R63&lt;&gt;"",R63&lt;TODAY()),AND(V63&lt;&gt;"✓",U63&lt;&gt;"",U63&lt;TODAY())),"遅延",IF(OR(AND(I63&lt;&gt;"✓",H63&lt;&gt;"",H63&lt;=TODAY()+7),AND(K63&lt;&gt;"✓",J63&lt;&gt;"",J63&lt;=TODAY()+7),AND(M63&lt;&gt;"✓",L63&lt;&gt;"",L63&lt;=TODAY()+7),AND(Q63&lt;&gt;"✓",P63&lt;&gt;"",P63&lt;=TODAY()+7),AND(S63&lt;&gt;"✓",R63&lt;&gt;"",R63&lt;=TODAY()+7),AND(V63&lt;&gt;"✓",U63&lt;&gt;"",U63&lt;=TODAY()+7)),"今週対応","進行中"))))</f>
        <v/>
      </c>
      <c r="Y63" s="13">
        <f>IF($A63="","",COUNTIFS(価格!$A$2:$A$251,$A63,価格!$B$2:$B$251,"PC"))</f>
        <v/>
      </c>
      <c r="Z63" s="13">
        <f>IF($A63="","",COUNTIFS(価格!$A$2:$A$251,$A63,価格!$B$2:$B$251,"オプション"))</f>
        <v/>
      </c>
      <c r="AA63" s="13">
        <f>IF($A63="","",COUNTIFS(価格!$A$2:$A$251,$A63)-COUNTIFS(価格!$A$2:$A$251,$A63,価格!$H$2:$H$251,"&gt;0",価格!$J$2:$J$251,"&gt;0"))</f>
        <v/>
      </c>
      <c r="AB63" s="14">
        <f>IF($A63="","",SUMIFS(価格!$N$2:$N$251,価格!$A$2:$A$251,$A63))</f>
        <v/>
      </c>
      <c r="AC63" s="6" t="n"/>
    </row>
    <row r="64">
      <c r="A64" s="6" t="n"/>
      <c r="B64" s="6" t="n"/>
      <c r="C64" s="6" t="n"/>
      <c r="D64" s="6" t="n"/>
      <c r="E64" s="8" t="n"/>
      <c r="F64" s="6" t="n"/>
      <c r="G64" s="6" t="n"/>
      <c r="H64" s="9" t="n"/>
      <c r="I64" s="10" t="n"/>
      <c r="J64" s="9" t="n"/>
      <c r="K64" s="10" t="n"/>
      <c r="L64" s="9" t="n"/>
      <c r="M64" s="10" t="n"/>
      <c r="N64" s="6" t="n"/>
      <c r="O64" s="9" t="n"/>
      <c r="P64" s="9" t="n"/>
      <c r="Q64" s="10" t="n"/>
      <c r="R64" s="9" t="n"/>
      <c r="S64" s="10" t="n"/>
      <c r="T64" s="6" t="n"/>
      <c r="U64" s="9" t="n"/>
      <c r="V64" s="10" t="n"/>
      <c r="W64" s="11">
        <f>IF($A64="","",(COUNTIF(I64,"✓")+ COUNTIF(K64,"✓")+ COUNTIF(M64,"✓")+ COUNTIF(Q64,"✓")+ COUNTIF(S64,"✓")+ COUNTIF(V64,"✓"))/6)</f>
        <v/>
      </c>
      <c r="X64" s="12">
        <f>IF($A64="","",IF(W64=1,"完了",IF(OR(AND(I64&lt;&gt;"✓",H64&lt;&gt;"",H64&lt;TODAY()),AND(K64&lt;&gt;"✓",J64&lt;&gt;"",J64&lt;TODAY()),AND(M64&lt;&gt;"✓",L64&lt;&gt;"",L64&lt;TODAY()),AND(Q64&lt;&gt;"✓",P64&lt;&gt;"",P64&lt;TODAY()),AND(S64&lt;&gt;"✓",R64&lt;&gt;"",R64&lt;TODAY()),AND(V64&lt;&gt;"✓",U64&lt;&gt;"",U64&lt;TODAY())),"遅延",IF(OR(AND(I64&lt;&gt;"✓",H64&lt;&gt;"",H64&lt;=TODAY()+7),AND(K64&lt;&gt;"✓",J64&lt;&gt;"",J64&lt;=TODAY()+7),AND(M64&lt;&gt;"✓",L64&lt;&gt;"",L64&lt;=TODAY()+7),AND(Q64&lt;&gt;"✓",P64&lt;&gt;"",P64&lt;=TODAY()+7),AND(S64&lt;&gt;"✓",R64&lt;&gt;"",R64&lt;=TODAY()+7),AND(V64&lt;&gt;"✓",U64&lt;&gt;"",U64&lt;=TODAY()+7)),"今週対応","進行中"))))</f>
        <v/>
      </c>
      <c r="Y64" s="13">
        <f>IF($A64="","",COUNTIFS(価格!$A$2:$A$251,$A64,価格!$B$2:$B$251,"PC"))</f>
        <v/>
      </c>
      <c r="Z64" s="13">
        <f>IF($A64="","",COUNTIFS(価格!$A$2:$A$251,$A64,価格!$B$2:$B$251,"オプション"))</f>
        <v/>
      </c>
      <c r="AA64" s="13">
        <f>IF($A64="","",COUNTIFS(価格!$A$2:$A$251,$A64)-COUNTIFS(価格!$A$2:$A$251,$A64,価格!$H$2:$H$251,"&gt;0",価格!$J$2:$J$251,"&gt;0"))</f>
        <v/>
      </c>
      <c r="AB64" s="14">
        <f>IF($A64="","",SUMIFS(価格!$N$2:$N$251,価格!$A$2:$A$251,$A64))</f>
        <v/>
      </c>
      <c r="AC64" s="6" t="n"/>
    </row>
    <row r="65">
      <c r="A65" s="6" t="n"/>
      <c r="B65" s="6" t="n"/>
      <c r="C65" s="6" t="n"/>
      <c r="D65" s="6" t="n"/>
      <c r="E65" s="8" t="n"/>
      <c r="F65" s="6" t="n"/>
      <c r="G65" s="6" t="n"/>
      <c r="H65" s="9" t="n"/>
      <c r="I65" s="10" t="n"/>
      <c r="J65" s="9" t="n"/>
      <c r="K65" s="10" t="n"/>
      <c r="L65" s="9" t="n"/>
      <c r="M65" s="10" t="n"/>
      <c r="N65" s="6" t="n"/>
      <c r="O65" s="9" t="n"/>
      <c r="P65" s="9" t="n"/>
      <c r="Q65" s="10" t="n"/>
      <c r="R65" s="9" t="n"/>
      <c r="S65" s="10" t="n"/>
      <c r="T65" s="6" t="n"/>
      <c r="U65" s="9" t="n"/>
      <c r="V65" s="10" t="n"/>
      <c r="W65" s="11">
        <f>IF($A65="","",(COUNTIF(I65,"✓")+ COUNTIF(K65,"✓")+ COUNTIF(M65,"✓")+ COUNTIF(Q65,"✓")+ COUNTIF(S65,"✓")+ COUNTIF(V65,"✓"))/6)</f>
        <v/>
      </c>
      <c r="X65" s="12">
        <f>IF($A65="","",IF(W65=1,"完了",IF(OR(AND(I65&lt;&gt;"✓",H65&lt;&gt;"",H65&lt;TODAY()),AND(K65&lt;&gt;"✓",J65&lt;&gt;"",J65&lt;TODAY()),AND(M65&lt;&gt;"✓",L65&lt;&gt;"",L65&lt;TODAY()),AND(Q65&lt;&gt;"✓",P65&lt;&gt;"",P65&lt;TODAY()),AND(S65&lt;&gt;"✓",R65&lt;&gt;"",R65&lt;TODAY()),AND(V65&lt;&gt;"✓",U65&lt;&gt;"",U65&lt;TODAY())),"遅延",IF(OR(AND(I65&lt;&gt;"✓",H65&lt;&gt;"",H65&lt;=TODAY()+7),AND(K65&lt;&gt;"✓",J65&lt;&gt;"",J65&lt;=TODAY()+7),AND(M65&lt;&gt;"✓",L65&lt;&gt;"",L65&lt;=TODAY()+7),AND(Q65&lt;&gt;"✓",P65&lt;&gt;"",P65&lt;=TODAY()+7),AND(S65&lt;&gt;"✓",R65&lt;&gt;"",R65&lt;=TODAY()+7),AND(V65&lt;&gt;"✓",U65&lt;&gt;"",U65&lt;=TODAY()+7)),"今週対応","進行中"))))</f>
        <v/>
      </c>
      <c r="Y65" s="13">
        <f>IF($A65="","",COUNTIFS(価格!$A$2:$A$251,$A65,価格!$B$2:$B$251,"PC"))</f>
        <v/>
      </c>
      <c r="Z65" s="13">
        <f>IF($A65="","",COUNTIFS(価格!$A$2:$A$251,$A65,価格!$B$2:$B$251,"オプション"))</f>
        <v/>
      </c>
      <c r="AA65" s="13">
        <f>IF($A65="","",COUNTIFS(価格!$A$2:$A$251,$A65)-COUNTIFS(価格!$A$2:$A$251,$A65,価格!$H$2:$H$251,"&gt;0",価格!$J$2:$J$251,"&gt;0"))</f>
        <v/>
      </c>
      <c r="AB65" s="14">
        <f>IF($A65="","",SUMIFS(価格!$N$2:$N$251,価格!$A$2:$A$251,$A65))</f>
        <v/>
      </c>
      <c r="AC65" s="6" t="n"/>
    </row>
    <row r="66">
      <c r="A66" s="6" t="n"/>
      <c r="B66" s="6" t="n"/>
      <c r="C66" s="6" t="n"/>
      <c r="D66" s="6" t="n"/>
      <c r="E66" s="8" t="n"/>
      <c r="F66" s="6" t="n"/>
      <c r="G66" s="6" t="n"/>
      <c r="H66" s="9" t="n"/>
      <c r="I66" s="10" t="n"/>
      <c r="J66" s="9" t="n"/>
      <c r="K66" s="10" t="n"/>
      <c r="L66" s="9" t="n"/>
      <c r="M66" s="10" t="n"/>
      <c r="N66" s="6" t="n"/>
      <c r="O66" s="9" t="n"/>
      <c r="P66" s="9" t="n"/>
      <c r="Q66" s="10" t="n"/>
      <c r="R66" s="9" t="n"/>
      <c r="S66" s="10" t="n"/>
      <c r="T66" s="6" t="n"/>
      <c r="U66" s="9" t="n"/>
      <c r="V66" s="10" t="n"/>
      <c r="W66" s="11">
        <f>IF($A66="","",(COUNTIF(I66,"✓")+ COUNTIF(K66,"✓")+ COUNTIF(M66,"✓")+ COUNTIF(Q66,"✓")+ COUNTIF(S66,"✓")+ COUNTIF(V66,"✓"))/6)</f>
        <v/>
      </c>
      <c r="X66" s="12">
        <f>IF($A66="","",IF(W66=1,"完了",IF(OR(AND(I66&lt;&gt;"✓",H66&lt;&gt;"",H66&lt;TODAY()),AND(K66&lt;&gt;"✓",J66&lt;&gt;"",J66&lt;TODAY()),AND(M66&lt;&gt;"✓",L66&lt;&gt;"",L66&lt;TODAY()),AND(Q66&lt;&gt;"✓",P66&lt;&gt;"",P66&lt;TODAY()),AND(S66&lt;&gt;"✓",R66&lt;&gt;"",R66&lt;TODAY()),AND(V66&lt;&gt;"✓",U66&lt;&gt;"",U66&lt;TODAY())),"遅延",IF(OR(AND(I66&lt;&gt;"✓",H66&lt;&gt;"",H66&lt;=TODAY()+7),AND(K66&lt;&gt;"✓",J66&lt;&gt;"",J66&lt;=TODAY()+7),AND(M66&lt;&gt;"✓",L66&lt;&gt;"",L66&lt;=TODAY()+7),AND(Q66&lt;&gt;"✓",P66&lt;&gt;"",P66&lt;=TODAY()+7),AND(S66&lt;&gt;"✓",R66&lt;&gt;"",R66&lt;=TODAY()+7),AND(V66&lt;&gt;"✓",U66&lt;&gt;"",U66&lt;=TODAY()+7)),"今週対応","進行中"))))</f>
        <v/>
      </c>
      <c r="Y66" s="13">
        <f>IF($A66="","",COUNTIFS(価格!$A$2:$A$251,$A66,価格!$B$2:$B$251,"PC"))</f>
        <v/>
      </c>
      <c r="Z66" s="13">
        <f>IF($A66="","",COUNTIFS(価格!$A$2:$A$251,$A66,価格!$B$2:$B$251,"オプション"))</f>
        <v/>
      </c>
      <c r="AA66" s="13">
        <f>IF($A66="","",COUNTIFS(価格!$A$2:$A$251,$A66)-COUNTIFS(価格!$A$2:$A$251,$A66,価格!$H$2:$H$251,"&gt;0",価格!$J$2:$J$251,"&gt;0"))</f>
        <v/>
      </c>
      <c r="AB66" s="14">
        <f>IF($A66="","",SUMIFS(価格!$N$2:$N$251,価格!$A$2:$A$251,$A66))</f>
        <v/>
      </c>
      <c r="AC66" s="6" t="n"/>
    </row>
    <row r="67">
      <c r="A67" s="6" t="n"/>
      <c r="B67" s="6" t="n"/>
      <c r="C67" s="6" t="n"/>
      <c r="D67" s="6" t="n"/>
      <c r="E67" s="8" t="n"/>
      <c r="F67" s="6" t="n"/>
      <c r="G67" s="6" t="n"/>
      <c r="H67" s="9" t="n"/>
      <c r="I67" s="10" t="n"/>
      <c r="J67" s="9" t="n"/>
      <c r="K67" s="10" t="n"/>
      <c r="L67" s="9" t="n"/>
      <c r="M67" s="10" t="n"/>
      <c r="N67" s="6" t="n"/>
      <c r="O67" s="9" t="n"/>
      <c r="P67" s="9" t="n"/>
      <c r="Q67" s="10" t="n"/>
      <c r="R67" s="9" t="n"/>
      <c r="S67" s="10" t="n"/>
      <c r="T67" s="6" t="n"/>
      <c r="U67" s="9" t="n"/>
      <c r="V67" s="10" t="n"/>
      <c r="W67" s="11">
        <f>IF($A67="","",(COUNTIF(I67,"✓")+ COUNTIF(K67,"✓")+ COUNTIF(M67,"✓")+ COUNTIF(Q67,"✓")+ COUNTIF(S67,"✓")+ COUNTIF(V67,"✓"))/6)</f>
        <v/>
      </c>
      <c r="X67" s="12">
        <f>IF($A67="","",IF(W67=1,"完了",IF(OR(AND(I67&lt;&gt;"✓",H67&lt;&gt;"",H67&lt;TODAY()),AND(K67&lt;&gt;"✓",J67&lt;&gt;"",J67&lt;TODAY()),AND(M67&lt;&gt;"✓",L67&lt;&gt;"",L67&lt;TODAY()),AND(Q67&lt;&gt;"✓",P67&lt;&gt;"",P67&lt;TODAY()),AND(S67&lt;&gt;"✓",R67&lt;&gt;"",R67&lt;TODAY()),AND(V67&lt;&gt;"✓",U67&lt;&gt;"",U67&lt;TODAY())),"遅延",IF(OR(AND(I67&lt;&gt;"✓",H67&lt;&gt;"",H67&lt;=TODAY()+7),AND(K67&lt;&gt;"✓",J67&lt;&gt;"",J67&lt;=TODAY()+7),AND(M67&lt;&gt;"✓",L67&lt;&gt;"",L67&lt;=TODAY()+7),AND(Q67&lt;&gt;"✓",P67&lt;&gt;"",P67&lt;=TODAY()+7),AND(S67&lt;&gt;"✓",R67&lt;&gt;"",R67&lt;=TODAY()+7),AND(V67&lt;&gt;"✓",U67&lt;&gt;"",U67&lt;=TODAY()+7)),"今週対応","進行中"))))</f>
        <v/>
      </c>
      <c r="Y67" s="13">
        <f>IF($A67="","",COUNTIFS(価格!$A$2:$A$251,$A67,価格!$B$2:$B$251,"PC"))</f>
        <v/>
      </c>
      <c r="Z67" s="13">
        <f>IF($A67="","",COUNTIFS(価格!$A$2:$A$251,$A67,価格!$B$2:$B$251,"オプション"))</f>
        <v/>
      </c>
      <c r="AA67" s="13">
        <f>IF($A67="","",COUNTIFS(価格!$A$2:$A$251,$A67)-COUNTIFS(価格!$A$2:$A$251,$A67,価格!$H$2:$H$251,"&gt;0",価格!$J$2:$J$251,"&gt;0"))</f>
        <v/>
      </c>
      <c r="AB67" s="14">
        <f>IF($A67="","",SUMIFS(価格!$N$2:$N$251,価格!$A$2:$A$251,$A67))</f>
        <v/>
      </c>
      <c r="AC67" s="6" t="n"/>
    </row>
    <row r="68">
      <c r="A68" s="6" t="n"/>
      <c r="B68" s="6" t="n"/>
      <c r="C68" s="6" t="n"/>
      <c r="D68" s="6" t="n"/>
      <c r="E68" s="8" t="n"/>
      <c r="F68" s="6" t="n"/>
      <c r="G68" s="6" t="n"/>
      <c r="H68" s="9" t="n"/>
      <c r="I68" s="10" t="n"/>
      <c r="J68" s="9" t="n"/>
      <c r="K68" s="10" t="n"/>
      <c r="L68" s="9" t="n"/>
      <c r="M68" s="10" t="n"/>
      <c r="N68" s="6" t="n"/>
      <c r="O68" s="9" t="n"/>
      <c r="P68" s="9" t="n"/>
      <c r="Q68" s="10" t="n"/>
      <c r="R68" s="9" t="n"/>
      <c r="S68" s="10" t="n"/>
      <c r="T68" s="6" t="n"/>
      <c r="U68" s="9" t="n"/>
      <c r="V68" s="10" t="n"/>
      <c r="W68" s="11">
        <f>IF($A68="","",(COUNTIF(I68,"✓")+ COUNTIF(K68,"✓")+ COUNTIF(M68,"✓")+ COUNTIF(Q68,"✓")+ COUNTIF(S68,"✓")+ COUNTIF(V68,"✓"))/6)</f>
        <v/>
      </c>
      <c r="X68" s="12">
        <f>IF($A68="","",IF(W68=1,"完了",IF(OR(AND(I68&lt;&gt;"✓",H68&lt;&gt;"",H68&lt;TODAY()),AND(K68&lt;&gt;"✓",J68&lt;&gt;"",J68&lt;TODAY()),AND(M68&lt;&gt;"✓",L68&lt;&gt;"",L68&lt;TODAY()),AND(Q68&lt;&gt;"✓",P68&lt;&gt;"",P68&lt;TODAY()),AND(S68&lt;&gt;"✓",R68&lt;&gt;"",R68&lt;TODAY()),AND(V68&lt;&gt;"✓",U68&lt;&gt;"",U68&lt;TODAY())),"遅延",IF(OR(AND(I68&lt;&gt;"✓",H68&lt;&gt;"",H68&lt;=TODAY()+7),AND(K68&lt;&gt;"✓",J68&lt;&gt;"",J68&lt;=TODAY()+7),AND(M68&lt;&gt;"✓",L68&lt;&gt;"",L68&lt;=TODAY()+7),AND(Q68&lt;&gt;"✓",P68&lt;&gt;"",P68&lt;=TODAY()+7),AND(S68&lt;&gt;"✓",R68&lt;&gt;"",R68&lt;=TODAY()+7),AND(V68&lt;&gt;"✓",U68&lt;&gt;"",U68&lt;=TODAY()+7)),"今週対応","進行中"))))</f>
        <v/>
      </c>
      <c r="Y68" s="13">
        <f>IF($A68="","",COUNTIFS(価格!$A$2:$A$251,$A68,価格!$B$2:$B$251,"PC"))</f>
        <v/>
      </c>
      <c r="Z68" s="13">
        <f>IF($A68="","",COUNTIFS(価格!$A$2:$A$251,$A68,価格!$B$2:$B$251,"オプション"))</f>
        <v/>
      </c>
      <c r="AA68" s="13">
        <f>IF($A68="","",COUNTIFS(価格!$A$2:$A$251,$A68)-COUNTIFS(価格!$A$2:$A$251,$A68,価格!$H$2:$H$251,"&gt;0",価格!$J$2:$J$251,"&gt;0"))</f>
        <v/>
      </c>
      <c r="AB68" s="14">
        <f>IF($A68="","",SUMIFS(価格!$N$2:$N$251,価格!$A$2:$A$251,$A68))</f>
        <v/>
      </c>
      <c r="AC68" s="6" t="n"/>
    </row>
    <row r="69">
      <c r="A69" s="6" t="n"/>
      <c r="B69" s="6" t="n"/>
      <c r="C69" s="6" t="n"/>
      <c r="D69" s="6" t="n"/>
      <c r="E69" s="8" t="n"/>
      <c r="F69" s="6" t="n"/>
      <c r="G69" s="6" t="n"/>
      <c r="H69" s="9" t="n"/>
      <c r="I69" s="10" t="n"/>
      <c r="J69" s="9" t="n"/>
      <c r="K69" s="10" t="n"/>
      <c r="L69" s="9" t="n"/>
      <c r="M69" s="10" t="n"/>
      <c r="N69" s="6" t="n"/>
      <c r="O69" s="9" t="n"/>
      <c r="P69" s="9" t="n"/>
      <c r="Q69" s="10" t="n"/>
      <c r="R69" s="9" t="n"/>
      <c r="S69" s="10" t="n"/>
      <c r="T69" s="6" t="n"/>
      <c r="U69" s="9" t="n"/>
      <c r="V69" s="10" t="n"/>
      <c r="W69" s="11">
        <f>IF($A69="","",(COUNTIF(I69,"✓")+ COUNTIF(K69,"✓")+ COUNTIF(M69,"✓")+ COUNTIF(Q69,"✓")+ COUNTIF(S69,"✓")+ COUNTIF(V69,"✓"))/6)</f>
        <v/>
      </c>
      <c r="X69" s="12">
        <f>IF($A69="","",IF(W69=1,"完了",IF(OR(AND(I69&lt;&gt;"✓",H69&lt;&gt;"",H69&lt;TODAY()),AND(K69&lt;&gt;"✓",J69&lt;&gt;"",J69&lt;TODAY()),AND(M69&lt;&gt;"✓",L69&lt;&gt;"",L69&lt;TODAY()),AND(Q69&lt;&gt;"✓",P69&lt;&gt;"",P69&lt;TODAY()),AND(S69&lt;&gt;"✓",R69&lt;&gt;"",R69&lt;TODAY()),AND(V69&lt;&gt;"✓",U69&lt;&gt;"",U69&lt;TODAY())),"遅延",IF(OR(AND(I69&lt;&gt;"✓",H69&lt;&gt;"",H69&lt;=TODAY()+7),AND(K69&lt;&gt;"✓",J69&lt;&gt;"",J69&lt;=TODAY()+7),AND(M69&lt;&gt;"✓",L69&lt;&gt;"",L69&lt;=TODAY()+7),AND(Q69&lt;&gt;"✓",P69&lt;&gt;"",P69&lt;=TODAY()+7),AND(S69&lt;&gt;"✓",R69&lt;&gt;"",R69&lt;=TODAY()+7),AND(V69&lt;&gt;"✓",U69&lt;&gt;"",U69&lt;=TODAY()+7)),"今週対応","進行中"))))</f>
        <v/>
      </c>
      <c r="Y69" s="13">
        <f>IF($A69="","",COUNTIFS(価格!$A$2:$A$251,$A69,価格!$B$2:$B$251,"PC"))</f>
        <v/>
      </c>
      <c r="Z69" s="13">
        <f>IF($A69="","",COUNTIFS(価格!$A$2:$A$251,$A69,価格!$B$2:$B$251,"オプション"))</f>
        <v/>
      </c>
      <c r="AA69" s="13">
        <f>IF($A69="","",COUNTIFS(価格!$A$2:$A$251,$A69)-COUNTIFS(価格!$A$2:$A$251,$A69,価格!$H$2:$H$251,"&gt;0",価格!$J$2:$J$251,"&gt;0"))</f>
        <v/>
      </c>
      <c r="AB69" s="14">
        <f>IF($A69="","",SUMIFS(価格!$N$2:$N$251,価格!$A$2:$A$251,$A69))</f>
        <v/>
      </c>
      <c r="AC69" s="6" t="n"/>
    </row>
    <row r="70">
      <c r="A70" s="6" t="n"/>
      <c r="B70" s="6" t="n"/>
      <c r="C70" s="6" t="n"/>
      <c r="D70" s="6" t="n"/>
      <c r="E70" s="8" t="n"/>
      <c r="F70" s="6" t="n"/>
      <c r="G70" s="6" t="n"/>
      <c r="H70" s="9" t="n"/>
      <c r="I70" s="10" t="n"/>
      <c r="J70" s="9" t="n"/>
      <c r="K70" s="10" t="n"/>
      <c r="L70" s="9" t="n"/>
      <c r="M70" s="10" t="n"/>
      <c r="N70" s="6" t="n"/>
      <c r="O70" s="9" t="n"/>
      <c r="P70" s="9" t="n"/>
      <c r="Q70" s="10" t="n"/>
      <c r="R70" s="9" t="n"/>
      <c r="S70" s="10" t="n"/>
      <c r="T70" s="6" t="n"/>
      <c r="U70" s="9" t="n"/>
      <c r="V70" s="10" t="n"/>
      <c r="W70" s="11">
        <f>IF($A70="","",(COUNTIF(I70,"✓")+ COUNTIF(K70,"✓")+ COUNTIF(M70,"✓")+ COUNTIF(Q70,"✓")+ COUNTIF(S70,"✓")+ COUNTIF(V70,"✓"))/6)</f>
        <v/>
      </c>
      <c r="X70" s="12">
        <f>IF($A70="","",IF(W70=1,"完了",IF(OR(AND(I70&lt;&gt;"✓",H70&lt;&gt;"",H70&lt;TODAY()),AND(K70&lt;&gt;"✓",J70&lt;&gt;"",J70&lt;TODAY()),AND(M70&lt;&gt;"✓",L70&lt;&gt;"",L70&lt;TODAY()),AND(Q70&lt;&gt;"✓",P70&lt;&gt;"",P70&lt;TODAY()),AND(S70&lt;&gt;"✓",R70&lt;&gt;"",R70&lt;TODAY()),AND(V70&lt;&gt;"✓",U70&lt;&gt;"",U70&lt;TODAY())),"遅延",IF(OR(AND(I70&lt;&gt;"✓",H70&lt;&gt;"",H70&lt;=TODAY()+7),AND(K70&lt;&gt;"✓",J70&lt;&gt;"",J70&lt;=TODAY()+7),AND(M70&lt;&gt;"✓",L70&lt;&gt;"",L70&lt;=TODAY()+7),AND(Q70&lt;&gt;"✓",P70&lt;&gt;"",P70&lt;=TODAY()+7),AND(S70&lt;&gt;"✓",R70&lt;&gt;"",R70&lt;=TODAY()+7),AND(V70&lt;&gt;"✓",U70&lt;&gt;"",U70&lt;=TODAY()+7)),"今週対応","進行中"))))</f>
        <v/>
      </c>
      <c r="Y70" s="13">
        <f>IF($A70="","",COUNTIFS(価格!$A$2:$A$251,$A70,価格!$B$2:$B$251,"PC"))</f>
        <v/>
      </c>
      <c r="Z70" s="13">
        <f>IF($A70="","",COUNTIFS(価格!$A$2:$A$251,$A70,価格!$B$2:$B$251,"オプション"))</f>
        <v/>
      </c>
      <c r="AA70" s="13">
        <f>IF($A70="","",COUNTIFS(価格!$A$2:$A$251,$A70)-COUNTIFS(価格!$A$2:$A$251,$A70,価格!$H$2:$H$251,"&gt;0",価格!$J$2:$J$251,"&gt;0"))</f>
        <v/>
      </c>
      <c r="AB70" s="14">
        <f>IF($A70="","",SUMIFS(価格!$N$2:$N$251,価格!$A$2:$A$251,$A70))</f>
        <v/>
      </c>
      <c r="AC70" s="6" t="n"/>
    </row>
    <row r="71">
      <c r="A71" s="6" t="n"/>
      <c r="B71" s="6" t="n"/>
      <c r="C71" s="6" t="n"/>
      <c r="D71" s="6" t="n"/>
      <c r="E71" s="8" t="n"/>
      <c r="F71" s="6" t="n"/>
      <c r="G71" s="6" t="n"/>
      <c r="H71" s="9" t="n"/>
      <c r="I71" s="10" t="n"/>
      <c r="J71" s="9" t="n"/>
      <c r="K71" s="10" t="n"/>
      <c r="L71" s="9" t="n"/>
      <c r="M71" s="10" t="n"/>
      <c r="N71" s="6" t="n"/>
      <c r="O71" s="9" t="n"/>
      <c r="P71" s="9" t="n"/>
      <c r="Q71" s="10" t="n"/>
      <c r="R71" s="9" t="n"/>
      <c r="S71" s="10" t="n"/>
      <c r="T71" s="6" t="n"/>
      <c r="U71" s="9" t="n"/>
      <c r="V71" s="10" t="n"/>
      <c r="W71" s="11">
        <f>IF($A71="","",(COUNTIF(I71,"✓")+ COUNTIF(K71,"✓")+ COUNTIF(M71,"✓")+ COUNTIF(Q71,"✓")+ COUNTIF(S71,"✓")+ COUNTIF(V71,"✓"))/6)</f>
        <v/>
      </c>
      <c r="X71" s="12">
        <f>IF($A71="","",IF(W71=1,"完了",IF(OR(AND(I71&lt;&gt;"✓",H71&lt;&gt;"",H71&lt;TODAY()),AND(K71&lt;&gt;"✓",J71&lt;&gt;"",J71&lt;TODAY()),AND(M71&lt;&gt;"✓",L71&lt;&gt;"",L71&lt;TODAY()),AND(Q71&lt;&gt;"✓",P71&lt;&gt;"",P71&lt;TODAY()),AND(S71&lt;&gt;"✓",R71&lt;&gt;"",R71&lt;TODAY()),AND(V71&lt;&gt;"✓",U71&lt;&gt;"",U71&lt;TODAY())),"遅延",IF(OR(AND(I71&lt;&gt;"✓",H71&lt;&gt;"",H71&lt;=TODAY()+7),AND(K71&lt;&gt;"✓",J71&lt;&gt;"",J71&lt;=TODAY()+7),AND(M71&lt;&gt;"✓",L71&lt;&gt;"",L71&lt;=TODAY()+7),AND(Q71&lt;&gt;"✓",P71&lt;&gt;"",P71&lt;=TODAY()+7),AND(S71&lt;&gt;"✓",R71&lt;&gt;"",R71&lt;=TODAY()+7),AND(V71&lt;&gt;"✓",U71&lt;&gt;"",U71&lt;=TODAY()+7)),"今週対応","進行中"))))</f>
        <v/>
      </c>
      <c r="Y71" s="13">
        <f>IF($A71="","",COUNTIFS(価格!$A$2:$A$251,$A71,価格!$B$2:$B$251,"PC"))</f>
        <v/>
      </c>
      <c r="Z71" s="13">
        <f>IF($A71="","",COUNTIFS(価格!$A$2:$A$251,$A71,価格!$B$2:$B$251,"オプション"))</f>
        <v/>
      </c>
      <c r="AA71" s="13">
        <f>IF($A71="","",COUNTIFS(価格!$A$2:$A$251,$A71)-COUNTIFS(価格!$A$2:$A$251,$A71,価格!$H$2:$H$251,"&gt;0",価格!$J$2:$J$251,"&gt;0"))</f>
        <v/>
      </c>
      <c r="AB71" s="14">
        <f>IF($A71="","",SUMIFS(価格!$N$2:$N$251,価格!$A$2:$A$251,$A71))</f>
        <v/>
      </c>
      <c r="AC71" s="6" t="n"/>
    </row>
  </sheetData>
  <autoFilter ref="A1:AC71"/>
  <conditionalFormatting sqref="X2:X71">
    <cfRule type="cellIs" priority="1" operator="equal" dxfId="0">
      <formula>"遅延"</formula>
    </cfRule>
    <cfRule type="cellIs" priority="2" operator="equal" dxfId="1">
      <formula>"今週対応"</formula>
    </cfRule>
    <cfRule type="cellIs" priority="3" operator="equal" dxfId="2">
      <formula>"完了"</formula>
    </cfRule>
  </conditionalFormatting>
  <conditionalFormatting sqref="I2:I71">
    <cfRule type="cellIs" priority="4" operator="equal" dxfId="3">
      <formula>"✓"</formula>
    </cfRule>
  </conditionalFormatting>
  <conditionalFormatting sqref="K2:K71">
    <cfRule type="cellIs" priority="5" operator="equal" dxfId="3">
      <formula>"✓"</formula>
    </cfRule>
  </conditionalFormatting>
  <conditionalFormatting sqref="M2:M71">
    <cfRule type="cellIs" priority="6" operator="equal" dxfId="3">
      <formula>"✓"</formula>
    </cfRule>
  </conditionalFormatting>
  <conditionalFormatting sqref="Q2:Q71">
    <cfRule type="cellIs" priority="7" operator="equal" dxfId="3">
      <formula>"✓"</formula>
    </cfRule>
  </conditionalFormatting>
  <conditionalFormatting sqref="S2:S71">
    <cfRule type="cellIs" priority="8" operator="equal" dxfId="3">
      <formula>"✓"</formula>
    </cfRule>
  </conditionalFormatting>
  <conditionalFormatting sqref="V2:V71">
    <cfRule type="cellIs" priority="9" operator="equal" dxfId="3">
      <formula>"✓"</formula>
    </cfRule>
  </conditionalFormatting>
  <conditionalFormatting sqref="AA2:AA71">
    <cfRule type="cellIs" priority="10" operator="greaterThan" dxfId="4">
      <formula>0</formula>
    </cfRule>
  </conditionalFormatting>
  <conditionalFormatting sqref="H2:H71">
    <cfRule type="expression" priority="11" dxfId="5">
      <formula>AND($A2&lt;&gt;"",H2&lt;&gt;"",H2&lt;TODAY(),I2&lt;&gt;"✓")</formula>
    </cfRule>
  </conditionalFormatting>
  <conditionalFormatting sqref="J2:J71">
    <cfRule type="expression" priority="12" dxfId="5">
      <formula>AND($A2&lt;&gt;"",J2&lt;&gt;"",J2&lt;TODAY(),K2&lt;&gt;"✓")</formula>
    </cfRule>
  </conditionalFormatting>
  <conditionalFormatting sqref="L2:L71">
    <cfRule type="expression" priority="13" dxfId="5">
      <formula>AND($A2&lt;&gt;"",L2&lt;&gt;"",L2&lt;TODAY(),M2&lt;&gt;"✓")</formula>
    </cfRule>
  </conditionalFormatting>
  <conditionalFormatting sqref="P2:P71">
    <cfRule type="expression" priority="14" dxfId="5">
      <formula>AND($A2&lt;&gt;"",P2&lt;&gt;"",P2&lt;TODAY(),Q2&lt;&gt;"✓")</formula>
    </cfRule>
  </conditionalFormatting>
  <conditionalFormatting sqref="R2:R71">
    <cfRule type="expression" priority="15" dxfId="5">
      <formula>AND($A2&lt;&gt;"",R2&lt;&gt;"",R2&lt;TODAY(),S2&lt;&gt;"✓")</formula>
    </cfRule>
  </conditionalFormatting>
  <conditionalFormatting sqref="U2:U71">
    <cfRule type="expression" priority="16" dxfId="5">
      <formula>AND($A2&lt;&gt;"",U2&lt;&gt;"",U2&lt;TODAY(),V2&lt;&gt;"✓")</formula>
    </cfRule>
  </conditionalFormatting>
  <dataValidations count="7">
    <dataValidation sqref="C2:C71" showDropDown="0" showInputMessage="0" showErrorMessage="0" allowBlank="1" type="list">
      <formula1>設定!$A$2:$A$20</formula1>
    </dataValidation>
    <dataValidation sqref="B2:B71" showDropDown="0" showInputMessage="0" showErrorMessage="0" allowBlank="1" type="list">
      <formula1>設定!$B$2:$B$20</formula1>
    </dataValidation>
    <dataValidation sqref="F2:F71" showDropDown="0" showInputMessage="0" showErrorMessage="0" allowBlank="1" type="list">
      <formula1>設定!$C$2:$C$20</formula1>
    </dataValidation>
    <dataValidation sqref="T2:T71" showDropDown="0" showInputMessage="0" showErrorMessage="0" allowBlank="1" type="list">
      <formula1>設定!$D$2:$D$20</formula1>
    </dataValidation>
    <dataValidation sqref="D2:D71" showDropDown="0" showInputMessage="0" showErrorMessage="0" allowBlank="1" type="list">
      <formula1>設定!$E$2:$E$20</formula1>
    </dataValidation>
    <dataValidation sqref="G2:G71" showDropDown="0" showInputMessage="0" showErrorMessage="0" allowBlank="1" type="list">
      <formula1>設定!$G$2:$G$20</formula1>
    </dataValidation>
    <dataValidation sqref="I2:I71 K2:K71 M2:M71 Q2:Q71 S2:S71 V2:V71" showDropDown="0" showInputMessage="0" showErrorMessage="0" allowBlank="1" type="list">
      <formula1>"✓"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30" customWidth="1" min="3" max="3"/>
    <col width="12" customWidth="1" min="4" max="4"/>
    <col width="12" customWidth="1" min="5" max="5"/>
    <col width="10" customWidth="1" min="6" max="6"/>
    <col width="14" customWidth="1" min="7" max="7"/>
    <col width="17" customWidth="1" min="8" max="8"/>
    <col width="9" customWidth="1" min="9" max="9"/>
    <col width="15" customWidth="1" min="10" max="10"/>
    <col width="12" customWidth="1" min="11" max="11"/>
    <col width="13" customWidth="1" min="12" max="12"/>
    <col width="10" customWidth="1" min="13" max="13"/>
    <col width="16" customWidth="1" min="14" max="14"/>
    <col width="9" customWidth="1" min="15" max="15"/>
    <col width="20" customWidth="1" min="16" max="16"/>
  </cols>
  <sheetData>
    <row r="1" ht="32" customHeight="1">
      <c r="A1" s="5" t="inlineStr">
        <is>
          <t>学校名</t>
        </is>
      </c>
      <c r="B1" s="5" t="inlineStr">
        <is>
          <t>種別</t>
        </is>
      </c>
      <c r="C1" s="5" t="inlineStr">
        <is>
          <t>品名</t>
        </is>
      </c>
      <c r="D1" s="5" t="inlineStr">
        <is>
          <t>昨年 掲載</t>
        </is>
      </c>
      <c r="E1" s="5" t="inlineStr">
        <is>
          <t>昨年 卸</t>
        </is>
      </c>
      <c r="F1" s="5" t="inlineStr">
        <is>
          <t>昨年 台数</t>
        </is>
      </c>
      <c r="G1" s="5" t="inlineStr">
        <is>
          <t>昨年 売上</t>
        </is>
      </c>
      <c r="H1" s="5" t="inlineStr">
        <is>
          <t>今年 掲載（エンド税別）</t>
        </is>
      </c>
      <c r="I1" s="5" t="inlineStr">
        <is>
          <t>前年比</t>
        </is>
      </c>
      <c r="J1" s="5" t="inlineStr">
        <is>
          <t>今年 卸（税別）</t>
        </is>
      </c>
      <c r="K1" s="5" t="inlineStr">
        <is>
          <t>手数料バック</t>
        </is>
      </c>
      <c r="L1" s="5" t="inlineStr">
        <is>
          <t>手数料 単価</t>
        </is>
      </c>
      <c r="M1" s="5" t="inlineStr">
        <is>
          <t>見込 数量</t>
        </is>
      </c>
      <c r="N1" s="5" t="inlineStr">
        <is>
          <t>手数料 見込合計</t>
        </is>
      </c>
      <c r="O1" s="5" t="inlineStr">
        <is>
          <t>手数料率</t>
        </is>
      </c>
      <c r="P1" s="5" t="inlineStr">
        <is>
          <t>協力企業</t>
        </is>
      </c>
    </row>
    <row r="2">
      <c r="A2" s="6" t="inlineStr">
        <is>
          <t>青葉学園高等学校</t>
        </is>
      </c>
      <c r="B2" s="6" t="inlineStr">
        <is>
          <t>PC</t>
        </is>
      </c>
      <c r="C2" s="6" t="inlineStr">
        <is>
          <t>Bモデル ノート13型 軽量 / i5・16GB</t>
        </is>
      </c>
      <c r="D2" s="15" t="n">
        <v>169000</v>
      </c>
      <c r="E2" s="15" t="n">
        <v>135000</v>
      </c>
      <c r="F2" s="16" t="n">
        <v>155</v>
      </c>
      <c r="G2" s="17">
        <f>IFERROR($D2*$F2,"")</f>
        <v/>
      </c>
      <c r="H2" s="15" t="n">
        <v>172000</v>
      </c>
      <c r="I2" s="18">
        <f>IFERROR($H2/$D2-1,"")</f>
        <v/>
      </c>
      <c r="J2" s="15" t="n">
        <v>140000</v>
      </c>
      <c r="K2" s="19">
        <f>IF($A2="","",IFERROR(INDEX(学校マスタ!$G$2:$G$71,MATCH($A2,学校マスタ!$A$2:$A$71,0)),""))</f>
        <v/>
      </c>
      <c r="L2" s="17">
        <f>IF(OR($A2="",$H2="",$J2=""),"",IF($K2="なし",0,$H2-$J2))</f>
        <v/>
      </c>
      <c r="M2" s="16" t="n">
        <v>160</v>
      </c>
      <c r="N2" s="17">
        <f>IFERROR($L2*$M2,"")</f>
        <v/>
      </c>
      <c r="O2" s="20">
        <f>IFERROR($L2/$H2,"")</f>
        <v/>
      </c>
      <c r="P2" s="19">
        <f>IF($A2="","",IFERROR(INDEX(学校マスタ!$F$2:$F$71,MATCH($A2,学校マスタ!$A$2:$A$71,0)),""))</f>
        <v/>
      </c>
    </row>
    <row r="3">
      <c r="A3" s="6" t="inlineStr">
        <is>
          <t>青葉学園高等学校</t>
        </is>
      </c>
      <c r="B3" s="6" t="inlineStr">
        <is>
          <t>PC</t>
        </is>
      </c>
      <c r="C3" s="6" t="inlineStr">
        <is>
          <t>Aモデル ノート14型 / i5・16GB</t>
        </is>
      </c>
      <c r="D3" s="15" t="n"/>
      <c r="E3" s="15" t="n"/>
      <c r="F3" s="16" t="n"/>
      <c r="G3" s="17">
        <f>IFERROR($D3*$F3,"")</f>
        <v/>
      </c>
      <c r="H3" s="15" t="n"/>
      <c r="I3" s="18">
        <f>IFERROR($H3/$D3-1,"")</f>
        <v/>
      </c>
      <c r="J3" s="15" t="n"/>
      <c r="K3" s="19">
        <f>IF($A3="","",IFERROR(INDEX(学校マスタ!$G$2:$G$71,MATCH($A3,学校マスタ!$A$2:$A$71,0)),""))</f>
        <v/>
      </c>
      <c r="L3" s="17">
        <f>IF(OR($A3="",$H3="",$J3=""),"",IF($K3="なし",0,$H3-$J3))</f>
        <v/>
      </c>
      <c r="M3" s="16" t="n">
        <v>120</v>
      </c>
      <c r="N3" s="17">
        <f>IFERROR($L3*$M3,"")</f>
        <v/>
      </c>
      <c r="O3" s="20">
        <f>IFERROR($L3/$H3,"")</f>
        <v/>
      </c>
      <c r="P3" s="19">
        <f>IF($A3="","",IFERROR(INDEX(学校マスタ!$F$2:$F$71,MATCH($A3,学校マスタ!$A$2:$A$71,0)),""))</f>
        <v/>
      </c>
    </row>
    <row r="4">
      <c r="A4" s="6" t="inlineStr">
        <is>
          <t>青葉学園高等学校</t>
        </is>
      </c>
      <c r="B4" s="6" t="inlineStr">
        <is>
          <t>オプション</t>
        </is>
      </c>
      <c r="C4" s="6" t="inlineStr">
        <is>
          <t>キャリングケース</t>
        </is>
      </c>
      <c r="D4" s="15" t="n">
        <v>4800</v>
      </c>
      <c r="E4" s="15" t="n">
        <v>3200</v>
      </c>
      <c r="F4" s="16" t="n"/>
      <c r="G4" s="17">
        <f>IFERROR($D4*$F4,"")</f>
        <v/>
      </c>
      <c r="H4" s="15" t="n">
        <v>4800</v>
      </c>
      <c r="I4" s="18">
        <f>IFERROR($H4/$D4-1,"")</f>
        <v/>
      </c>
      <c r="J4" s="15" t="n">
        <v>3200</v>
      </c>
      <c r="K4" s="19">
        <f>IF($A4="","",IFERROR(INDEX(学校マスタ!$G$2:$G$71,MATCH($A4,学校マスタ!$A$2:$A$71,0)),""))</f>
        <v/>
      </c>
      <c r="L4" s="17">
        <f>IF(OR($A4="",$H4="",$J4=""),"",IF($K4="なし",0,$H4-$J4))</f>
        <v/>
      </c>
      <c r="M4" s="16" t="n">
        <v>101</v>
      </c>
      <c r="N4" s="17">
        <f>IFERROR($L4*$M4,"")</f>
        <v/>
      </c>
      <c r="O4" s="20">
        <f>IFERROR($L4/$H4,"")</f>
        <v/>
      </c>
      <c r="P4" s="19">
        <f>IF($A4="","",IFERROR(INDEX(学校マスタ!$F$2:$F$71,MATCH($A4,学校マスタ!$A$2:$A$71,0)),""))</f>
        <v/>
      </c>
    </row>
    <row r="5">
      <c r="A5" s="6" t="inlineStr">
        <is>
          <t>青葉学園高等学校</t>
        </is>
      </c>
      <c r="B5" s="6" t="inlineStr">
        <is>
          <t>オプション</t>
        </is>
      </c>
      <c r="C5" s="6" t="inlineStr">
        <is>
          <t>Office 永続ライセンス</t>
        </is>
      </c>
      <c r="D5" s="15" t="n">
        <v>32000</v>
      </c>
      <c r="E5" s="15" t="n"/>
      <c r="F5" s="16" t="n"/>
      <c r="G5" s="17">
        <f>IFERROR($D5*$F5,"")</f>
        <v/>
      </c>
      <c r="H5" s="15" t="n">
        <v>32000</v>
      </c>
      <c r="I5" s="18">
        <f>IFERROR($H5/$D5-1,"")</f>
        <v/>
      </c>
      <c r="J5" s="15" t="n">
        <v>24000</v>
      </c>
      <c r="K5" s="19">
        <f>IF($A5="","",IFERROR(INDEX(学校マスタ!$G$2:$G$71,MATCH($A5,学校マスタ!$A$2:$A$71,0)),""))</f>
        <v/>
      </c>
      <c r="L5" s="17">
        <f>IF(OR($A5="",$H5="",$J5=""),"",IF($K5="なし",0,$H5-$J5))</f>
        <v/>
      </c>
      <c r="M5" s="16" t="n">
        <v>121</v>
      </c>
      <c r="N5" s="17">
        <f>IFERROR($L5*$M5,"")</f>
        <v/>
      </c>
      <c r="O5" s="20">
        <f>IFERROR($L5/$H5,"")</f>
        <v/>
      </c>
      <c r="P5" s="19">
        <f>IF($A5="","",IFERROR(INDEX(学校マスタ!$F$2:$F$71,MATCH($A5,学校マスタ!$A$2:$A$71,0)),""))</f>
        <v/>
      </c>
    </row>
    <row r="6">
      <c r="A6" s="6" t="n"/>
      <c r="B6" s="6" t="n"/>
      <c r="C6" s="6" t="n"/>
      <c r="D6" s="15" t="n"/>
      <c r="E6" s="15" t="n"/>
      <c r="F6" s="16" t="n"/>
      <c r="G6" s="17">
        <f>IFERROR($D6*$F6,"")</f>
        <v/>
      </c>
      <c r="H6" s="15" t="n"/>
      <c r="I6" s="18">
        <f>IFERROR($H6/$D6-1,"")</f>
        <v/>
      </c>
      <c r="J6" s="15" t="n"/>
      <c r="K6" s="19">
        <f>IF($A6="","",IFERROR(INDEX(学校マスタ!$G$2:$G$71,MATCH($A6,学校マスタ!$A$2:$A$71,0)),""))</f>
        <v/>
      </c>
      <c r="L6" s="17">
        <f>IF(OR($A6="",$H6="",$J6=""),"",IF($K6="なし",0,$H6-$J6))</f>
        <v/>
      </c>
      <c r="M6" s="16" t="n"/>
      <c r="N6" s="17">
        <f>IFERROR($L6*$M6,"")</f>
        <v/>
      </c>
      <c r="O6" s="20">
        <f>IFERROR($L6/$H6,"")</f>
        <v/>
      </c>
      <c r="P6" s="19">
        <f>IF($A6="","",IFERROR(INDEX(学校マスタ!$F$2:$F$71,MATCH($A6,学校マスタ!$A$2:$A$71,0)),""))</f>
        <v/>
      </c>
    </row>
    <row r="7">
      <c r="A7" s="6" t="n"/>
      <c r="B7" s="6" t="n"/>
      <c r="C7" s="6" t="n"/>
      <c r="D7" s="15" t="n"/>
      <c r="E7" s="15" t="n"/>
      <c r="F7" s="16" t="n"/>
      <c r="G7" s="17">
        <f>IFERROR($D7*$F7,"")</f>
        <v/>
      </c>
      <c r="H7" s="15" t="n"/>
      <c r="I7" s="18">
        <f>IFERROR($H7/$D7-1,"")</f>
        <v/>
      </c>
      <c r="J7" s="15" t="n"/>
      <c r="K7" s="19">
        <f>IF($A7="","",IFERROR(INDEX(学校マスタ!$G$2:$G$71,MATCH($A7,学校マスタ!$A$2:$A$71,0)),""))</f>
        <v/>
      </c>
      <c r="L7" s="17">
        <f>IF(OR($A7="",$H7="",$J7=""),"",IF($K7="なし",0,$H7-$J7))</f>
        <v/>
      </c>
      <c r="M7" s="16" t="n"/>
      <c r="N7" s="17">
        <f>IFERROR($L7*$M7,"")</f>
        <v/>
      </c>
      <c r="O7" s="20">
        <f>IFERROR($L7/$H7,"")</f>
        <v/>
      </c>
      <c r="P7" s="19">
        <f>IF($A7="","",IFERROR(INDEX(学校マスタ!$F$2:$F$71,MATCH($A7,学校マスタ!$A$2:$A$71,0)),""))</f>
        <v/>
      </c>
    </row>
    <row r="8">
      <c r="A8" s="6" t="n"/>
      <c r="B8" s="6" t="n"/>
      <c r="C8" s="6" t="n"/>
      <c r="D8" s="15" t="n"/>
      <c r="E8" s="15" t="n"/>
      <c r="F8" s="16" t="n"/>
      <c r="G8" s="17">
        <f>IFERROR($D8*$F8,"")</f>
        <v/>
      </c>
      <c r="H8" s="15" t="n"/>
      <c r="I8" s="18">
        <f>IFERROR($H8/$D8-1,"")</f>
        <v/>
      </c>
      <c r="J8" s="15" t="n"/>
      <c r="K8" s="19">
        <f>IF($A8="","",IFERROR(INDEX(学校マスタ!$G$2:$G$71,MATCH($A8,学校マスタ!$A$2:$A$71,0)),""))</f>
        <v/>
      </c>
      <c r="L8" s="17">
        <f>IF(OR($A8="",$H8="",$J8=""),"",IF($K8="なし",0,$H8-$J8))</f>
        <v/>
      </c>
      <c r="M8" s="16" t="n"/>
      <c r="N8" s="17">
        <f>IFERROR($L8*$M8,"")</f>
        <v/>
      </c>
      <c r="O8" s="20">
        <f>IFERROR($L8/$H8,"")</f>
        <v/>
      </c>
      <c r="P8" s="19">
        <f>IF($A8="","",IFERROR(INDEX(学校マスタ!$F$2:$F$71,MATCH($A8,学校マスタ!$A$2:$A$71,0)),""))</f>
        <v/>
      </c>
    </row>
    <row r="9">
      <c r="A9" s="6" t="n"/>
      <c r="B9" s="6" t="n"/>
      <c r="C9" s="6" t="n"/>
      <c r="D9" s="15" t="n"/>
      <c r="E9" s="15" t="n"/>
      <c r="F9" s="16" t="n"/>
      <c r="G9" s="17">
        <f>IFERROR($D9*$F9,"")</f>
        <v/>
      </c>
      <c r="H9" s="15" t="n"/>
      <c r="I9" s="18">
        <f>IFERROR($H9/$D9-1,"")</f>
        <v/>
      </c>
      <c r="J9" s="15" t="n"/>
      <c r="K9" s="19">
        <f>IF($A9="","",IFERROR(INDEX(学校マスタ!$G$2:$G$71,MATCH($A9,学校マスタ!$A$2:$A$71,0)),""))</f>
        <v/>
      </c>
      <c r="L9" s="17">
        <f>IF(OR($A9="",$H9="",$J9=""),"",IF($K9="なし",0,$H9-$J9))</f>
        <v/>
      </c>
      <c r="M9" s="16" t="n"/>
      <c r="N9" s="17">
        <f>IFERROR($L9*$M9,"")</f>
        <v/>
      </c>
      <c r="O9" s="20">
        <f>IFERROR($L9/$H9,"")</f>
        <v/>
      </c>
      <c r="P9" s="19">
        <f>IF($A9="","",IFERROR(INDEX(学校マスタ!$F$2:$F$71,MATCH($A9,学校マスタ!$A$2:$A$71,0)),""))</f>
        <v/>
      </c>
    </row>
    <row r="10">
      <c r="A10" s="6" t="n"/>
      <c r="B10" s="6" t="n"/>
      <c r="C10" s="6" t="n"/>
      <c r="D10" s="15" t="n"/>
      <c r="E10" s="15" t="n"/>
      <c r="F10" s="16" t="n"/>
      <c r="G10" s="17">
        <f>IFERROR($D10*$F10,"")</f>
        <v/>
      </c>
      <c r="H10" s="15" t="n"/>
      <c r="I10" s="18">
        <f>IFERROR($H10/$D10-1,"")</f>
        <v/>
      </c>
      <c r="J10" s="15" t="n"/>
      <c r="K10" s="19">
        <f>IF($A10="","",IFERROR(INDEX(学校マスタ!$G$2:$G$71,MATCH($A10,学校マスタ!$A$2:$A$71,0)),""))</f>
        <v/>
      </c>
      <c r="L10" s="17">
        <f>IF(OR($A10="",$H10="",$J10=""),"",IF($K10="なし",0,$H10-$J10))</f>
        <v/>
      </c>
      <c r="M10" s="16" t="n"/>
      <c r="N10" s="17">
        <f>IFERROR($L10*$M10,"")</f>
        <v/>
      </c>
      <c r="O10" s="20">
        <f>IFERROR($L10/$H10,"")</f>
        <v/>
      </c>
      <c r="P10" s="19">
        <f>IF($A10="","",IFERROR(INDEX(学校マスタ!$F$2:$F$71,MATCH($A10,学校マスタ!$A$2:$A$71,0)),""))</f>
        <v/>
      </c>
    </row>
    <row r="11">
      <c r="A11" s="6" t="n"/>
      <c r="B11" s="6" t="n"/>
      <c r="C11" s="6" t="n"/>
      <c r="D11" s="15" t="n"/>
      <c r="E11" s="15" t="n"/>
      <c r="F11" s="16" t="n"/>
      <c r="G11" s="17">
        <f>IFERROR($D11*$F11,"")</f>
        <v/>
      </c>
      <c r="H11" s="15" t="n"/>
      <c r="I11" s="18">
        <f>IFERROR($H11/$D11-1,"")</f>
        <v/>
      </c>
      <c r="J11" s="15" t="n"/>
      <c r="K11" s="19">
        <f>IF($A11="","",IFERROR(INDEX(学校マスタ!$G$2:$G$71,MATCH($A11,学校マスタ!$A$2:$A$71,0)),""))</f>
        <v/>
      </c>
      <c r="L11" s="17">
        <f>IF(OR($A11="",$H11="",$J11=""),"",IF($K11="なし",0,$H11-$J11))</f>
        <v/>
      </c>
      <c r="M11" s="16" t="n"/>
      <c r="N11" s="17">
        <f>IFERROR($L11*$M11,"")</f>
        <v/>
      </c>
      <c r="O11" s="20">
        <f>IFERROR($L11/$H11,"")</f>
        <v/>
      </c>
      <c r="P11" s="19">
        <f>IF($A11="","",IFERROR(INDEX(学校マスタ!$F$2:$F$71,MATCH($A11,学校マスタ!$A$2:$A$71,0)),""))</f>
        <v/>
      </c>
    </row>
    <row r="12">
      <c r="A12" s="6" t="n"/>
      <c r="B12" s="6" t="n"/>
      <c r="C12" s="6" t="n"/>
      <c r="D12" s="15" t="n"/>
      <c r="E12" s="15" t="n"/>
      <c r="F12" s="16" t="n"/>
      <c r="G12" s="17">
        <f>IFERROR($D12*$F12,"")</f>
        <v/>
      </c>
      <c r="H12" s="15" t="n"/>
      <c r="I12" s="18">
        <f>IFERROR($H12/$D12-1,"")</f>
        <v/>
      </c>
      <c r="J12" s="15" t="n"/>
      <c r="K12" s="19">
        <f>IF($A12="","",IFERROR(INDEX(学校マスタ!$G$2:$G$71,MATCH($A12,学校マスタ!$A$2:$A$71,0)),""))</f>
        <v/>
      </c>
      <c r="L12" s="17">
        <f>IF(OR($A12="",$H12="",$J12=""),"",IF($K12="なし",0,$H12-$J12))</f>
        <v/>
      </c>
      <c r="M12" s="16" t="n"/>
      <c r="N12" s="17">
        <f>IFERROR($L12*$M12,"")</f>
        <v/>
      </c>
      <c r="O12" s="20">
        <f>IFERROR($L12/$H12,"")</f>
        <v/>
      </c>
      <c r="P12" s="19">
        <f>IF($A12="","",IFERROR(INDEX(学校マスタ!$F$2:$F$71,MATCH($A12,学校マスタ!$A$2:$A$71,0)),""))</f>
        <v/>
      </c>
    </row>
    <row r="13">
      <c r="A13" s="6" t="n"/>
      <c r="B13" s="6" t="n"/>
      <c r="C13" s="6" t="n"/>
      <c r="D13" s="15" t="n"/>
      <c r="E13" s="15" t="n"/>
      <c r="F13" s="16" t="n"/>
      <c r="G13" s="17">
        <f>IFERROR($D13*$F13,"")</f>
        <v/>
      </c>
      <c r="H13" s="15" t="n"/>
      <c r="I13" s="18">
        <f>IFERROR($H13/$D13-1,"")</f>
        <v/>
      </c>
      <c r="J13" s="15" t="n"/>
      <c r="K13" s="19">
        <f>IF($A13="","",IFERROR(INDEX(学校マスタ!$G$2:$G$71,MATCH($A13,学校マスタ!$A$2:$A$71,0)),""))</f>
        <v/>
      </c>
      <c r="L13" s="17">
        <f>IF(OR($A13="",$H13="",$J13=""),"",IF($K13="なし",0,$H13-$J13))</f>
        <v/>
      </c>
      <c r="M13" s="16" t="n"/>
      <c r="N13" s="17">
        <f>IFERROR($L13*$M13,"")</f>
        <v/>
      </c>
      <c r="O13" s="20">
        <f>IFERROR($L13/$H13,"")</f>
        <v/>
      </c>
      <c r="P13" s="19">
        <f>IF($A13="","",IFERROR(INDEX(学校マスタ!$F$2:$F$71,MATCH($A13,学校マスタ!$A$2:$A$71,0)),""))</f>
        <v/>
      </c>
    </row>
    <row r="14">
      <c r="A14" s="6" t="n"/>
      <c r="B14" s="6" t="n"/>
      <c r="C14" s="6" t="n"/>
      <c r="D14" s="15" t="n"/>
      <c r="E14" s="15" t="n"/>
      <c r="F14" s="16" t="n"/>
      <c r="G14" s="17">
        <f>IFERROR($D14*$F14,"")</f>
        <v/>
      </c>
      <c r="H14" s="15" t="n"/>
      <c r="I14" s="18">
        <f>IFERROR($H14/$D14-1,"")</f>
        <v/>
      </c>
      <c r="J14" s="15" t="n"/>
      <c r="K14" s="19">
        <f>IF($A14="","",IFERROR(INDEX(学校マスタ!$G$2:$G$71,MATCH($A14,学校マスタ!$A$2:$A$71,0)),""))</f>
        <v/>
      </c>
      <c r="L14" s="17">
        <f>IF(OR($A14="",$H14="",$J14=""),"",IF($K14="なし",0,$H14-$J14))</f>
        <v/>
      </c>
      <c r="M14" s="16" t="n"/>
      <c r="N14" s="17">
        <f>IFERROR($L14*$M14,"")</f>
        <v/>
      </c>
      <c r="O14" s="20">
        <f>IFERROR($L14/$H14,"")</f>
        <v/>
      </c>
      <c r="P14" s="19">
        <f>IF($A14="","",IFERROR(INDEX(学校マスタ!$F$2:$F$71,MATCH($A14,学校マスタ!$A$2:$A$71,0)),""))</f>
        <v/>
      </c>
    </row>
    <row r="15">
      <c r="A15" s="6" t="n"/>
      <c r="B15" s="6" t="n"/>
      <c r="C15" s="6" t="n"/>
      <c r="D15" s="15" t="n"/>
      <c r="E15" s="15" t="n"/>
      <c r="F15" s="16" t="n"/>
      <c r="G15" s="17">
        <f>IFERROR($D15*$F15,"")</f>
        <v/>
      </c>
      <c r="H15" s="15" t="n"/>
      <c r="I15" s="18">
        <f>IFERROR($H15/$D15-1,"")</f>
        <v/>
      </c>
      <c r="J15" s="15" t="n"/>
      <c r="K15" s="19">
        <f>IF($A15="","",IFERROR(INDEX(学校マスタ!$G$2:$G$71,MATCH($A15,学校マスタ!$A$2:$A$71,0)),""))</f>
        <v/>
      </c>
      <c r="L15" s="17">
        <f>IF(OR($A15="",$H15="",$J15=""),"",IF($K15="なし",0,$H15-$J15))</f>
        <v/>
      </c>
      <c r="M15" s="16" t="n"/>
      <c r="N15" s="17">
        <f>IFERROR($L15*$M15,"")</f>
        <v/>
      </c>
      <c r="O15" s="20">
        <f>IFERROR($L15/$H15,"")</f>
        <v/>
      </c>
      <c r="P15" s="19">
        <f>IF($A15="","",IFERROR(INDEX(学校マスタ!$F$2:$F$71,MATCH($A15,学校マスタ!$A$2:$A$71,0)),""))</f>
        <v/>
      </c>
    </row>
    <row r="16">
      <c r="A16" s="6" t="n"/>
      <c r="B16" s="6" t="n"/>
      <c r="C16" s="6" t="n"/>
      <c r="D16" s="15" t="n"/>
      <c r="E16" s="15" t="n"/>
      <c r="F16" s="16" t="n"/>
      <c r="G16" s="17">
        <f>IFERROR($D16*$F16,"")</f>
        <v/>
      </c>
      <c r="H16" s="15" t="n"/>
      <c r="I16" s="18">
        <f>IFERROR($H16/$D16-1,"")</f>
        <v/>
      </c>
      <c r="J16" s="15" t="n"/>
      <c r="K16" s="19">
        <f>IF($A16="","",IFERROR(INDEX(学校マスタ!$G$2:$G$71,MATCH($A16,学校マスタ!$A$2:$A$71,0)),""))</f>
        <v/>
      </c>
      <c r="L16" s="17">
        <f>IF(OR($A16="",$H16="",$J16=""),"",IF($K16="なし",0,$H16-$J16))</f>
        <v/>
      </c>
      <c r="M16" s="16" t="n"/>
      <c r="N16" s="17">
        <f>IFERROR($L16*$M16,"")</f>
        <v/>
      </c>
      <c r="O16" s="20">
        <f>IFERROR($L16/$H16,"")</f>
        <v/>
      </c>
      <c r="P16" s="19">
        <f>IF($A16="","",IFERROR(INDEX(学校マスタ!$F$2:$F$71,MATCH($A16,学校マスタ!$A$2:$A$71,0)),""))</f>
        <v/>
      </c>
    </row>
    <row r="17">
      <c r="A17" s="6" t="n"/>
      <c r="B17" s="6" t="n"/>
      <c r="C17" s="6" t="n"/>
      <c r="D17" s="15" t="n"/>
      <c r="E17" s="15" t="n"/>
      <c r="F17" s="16" t="n"/>
      <c r="G17" s="17">
        <f>IFERROR($D17*$F17,"")</f>
        <v/>
      </c>
      <c r="H17" s="15" t="n"/>
      <c r="I17" s="18">
        <f>IFERROR($H17/$D17-1,"")</f>
        <v/>
      </c>
      <c r="J17" s="15" t="n"/>
      <c r="K17" s="19">
        <f>IF($A17="","",IFERROR(INDEX(学校マスタ!$G$2:$G$71,MATCH($A17,学校マスタ!$A$2:$A$71,0)),""))</f>
        <v/>
      </c>
      <c r="L17" s="17">
        <f>IF(OR($A17="",$H17="",$J17=""),"",IF($K17="なし",0,$H17-$J17))</f>
        <v/>
      </c>
      <c r="M17" s="16" t="n"/>
      <c r="N17" s="17">
        <f>IFERROR($L17*$M17,"")</f>
        <v/>
      </c>
      <c r="O17" s="20">
        <f>IFERROR($L17/$H17,"")</f>
        <v/>
      </c>
      <c r="P17" s="19">
        <f>IF($A17="","",IFERROR(INDEX(学校マスタ!$F$2:$F$71,MATCH($A17,学校マスタ!$A$2:$A$71,0)),""))</f>
        <v/>
      </c>
    </row>
    <row r="18">
      <c r="A18" s="6" t="n"/>
      <c r="B18" s="6" t="n"/>
      <c r="C18" s="6" t="n"/>
      <c r="D18" s="15" t="n"/>
      <c r="E18" s="15" t="n"/>
      <c r="F18" s="16" t="n"/>
      <c r="G18" s="17">
        <f>IFERROR($D18*$F18,"")</f>
        <v/>
      </c>
      <c r="H18" s="15" t="n"/>
      <c r="I18" s="18">
        <f>IFERROR($H18/$D18-1,"")</f>
        <v/>
      </c>
      <c r="J18" s="15" t="n"/>
      <c r="K18" s="19">
        <f>IF($A18="","",IFERROR(INDEX(学校マスタ!$G$2:$G$71,MATCH($A18,学校マスタ!$A$2:$A$71,0)),""))</f>
        <v/>
      </c>
      <c r="L18" s="17">
        <f>IF(OR($A18="",$H18="",$J18=""),"",IF($K18="なし",0,$H18-$J18))</f>
        <v/>
      </c>
      <c r="M18" s="16" t="n"/>
      <c r="N18" s="17">
        <f>IFERROR($L18*$M18,"")</f>
        <v/>
      </c>
      <c r="O18" s="20">
        <f>IFERROR($L18/$H18,"")</f>
        <v/>
      </c>
      <c r="P18" s="19">
        <f>IF($A18="","",IFERROR(INDEX(学校マスタ!$F$2:$F$71,MATCH($A18,学校マスタ!$A$2:$A$71,0)),""))</f>
        <v/>
      </c>
    </row>
    <row r="19">
      <c r="A19" s="6" t="n"/>
      <c r="B19" s="6" t="n"/>
      <c r="C19" s="6" t="n"/>
      <c r="D19" s="15" t="n"/>
      <c r="E19" s="15" t="n"/>
      <c r="F19" s="16" t="n"/>
      <c r="G19" s="17">
        <f>IFERROR($D19*$F19,"")</f>
        <v/>
      </c>
      <c r="H19" s="15" t="n"/>
      <c r="I19" s="18">
        <f>IFERROR($H19/$D19-1,"")</f>
        <v/>
      </c>
      <c r="J19" s="15" t="n"/>
      <c r="K19" s="19">
        <f>IF($A19="","",IFERROR(INDEX(学校マスタ!$G$2:$G$71,MATCH($A19,学校マスタ!$A$2:$A$71,0)),""))</f>
        <v/>
      </c>
      <c r="L19" s="17">
        <f>IF(OR($A19="",$H19="",$J19=""),"",IF($K19="なし",0,$H19-$J19))</f>
        <v/>
      </c>
      <c r="M19" s="16" t="n"/>
      <c r="N19" s="17">
        <f>IFERROR($L19*$M19,"")</f>
        <v/>
      </c>
      <c r="O19" s="20">
        <f>IFERROR($L19/$H19,"")</f>
        <v/>
      </c>
      <c r="P19" s="19">
        <f>IF($A19="","",IFERROR(INDEX(学校マスタ!$F$2:$F$71,MATCH($A19,学校マスタ!$A$2:$A$71,0)),""))</f>
        <v/>
      </c>
    </row>
    <row r="20">
      <c r="A20" s="6" t="n"/>
      <c r="B20" s="6" t="n"/>
      <c r="C20" s="6" t="n"/>
      <c r="D20" s="15" t="n"/>
      <c r="E20" s="15" t="n"/>
      <c r="F20" s="16" t="n"/>
      <c r="G20" s="17">
        <f>IFERROR($D20*$F20,"")</f>
        <v/>
      </c>
      <c r="H20" s="15" t="n"/>
      <c r="I20" s="18">
        <f>IFERROR($H20/$D20-1,"")</f>
        <v/>
      </c>
      <c r="J20" s="15" t="n"/>
      <c r="K20" s="19">
        <f>IF($A20="","",IFERROR(INDEX(学校マスタ!$G$2:$G$71,MATCH($A20,学校マスタ!$A$2:$A$71,0)),""))</f>
        <v/>
      </c>
      <c r="L20" s="17">
        <f>IF(OR($A20="",$H20="",$J20=""),"",IF($K20="なし",0,$H20-$J20))</f>
        <v/>
      </c>
      <c r="M20" s="16" t="n"/>
      <c r="N20" s="17">
        <f>IFERROR($L20*$M20,"")</f>
        <v/>
      </c>
      <c r="O20" s="20">
        <f>IFERROR($L20/$H20,"")</f>
        <v/>
      </c>
      <c r="P20" s="19">
        <f>IF($A20="","",IFERROR(INDEX(学校マスタ!$F$2:$F$71,MATCH($A20,学校マスタ!$A$2:$A$71,0)),""))</f>
        <v/>
      </c>
    </row>
    <row r="21">
      <c r="A21" s="6" t="n"/>
      <c r="B21" s="6" t="n"/>
      <c r="C21" s="6" t="n"/>
      <c r="D21" s="15" t="n"/>
      <c r="E21" s="15" t="n"/>
      <c r="F21" s="16" t="n"/>
      <c r="G21" s="17">
        <f>IFERROR($D21*$F21,"")</f>
        <v/>
      </c>
      <c r="H21" s="15" t="n"/>
      <c r="I21" s="18">
        <f>IFERROR($H21/$D21-1,"")</f>
        <v/>
      </c>
      <c r="J21" s="15" t="n"/>
      <c r="K21" s="19">
        <f>IF($A21="","",IFERROR(INDEX(学校マスタ!$G$2:$G$71,MATCH($A21,学校マスタ!$A$2:$A$71,0)),""))</f>
        <v/>
      </c>
      <c r="L21" s="17">
        <f>IF(OR($A21="",$H21="",$J21=""),"",IF($K21="なし",0,$H21-$J21))</f>
        <v/>
      </c>
      <c r="M21" s="16" t="n"/>
      <c r="N21" s="17">
        <f>IFERROR($L21*$M21,"")</f>
        <v/>
      </c>
      <c r="O21" s="20">
        <f>IFERROR($L21/$H21,"")</f>
        <v/>
      </c>
      <c r="P21" s="19">
        <f>IF($A21="","",IFERROR(INDEX(学校マスタ!$F$2:$F$71,MATCH($A21,学校マスタ!$A$2:$A$71,0)),""))</f>
        <v/>
      </c>
    </row>
    <row r="22">
      <c r="A22" s="6" t="n"/>
      <c r="B22" s="6" t="n"/>
      <c r="C22" s="6" t="n"/>
      <c r="D22" s="15" t="n"/>
      <c r="E22" s="15" t="n"/>
      <c r="F22" s="16" t="n"/>
      <c r="G22" s="17">
        <f>IFERROR($D22*$F22,"")</f>
        <v/>
      </c>
      <c r="H22" s="15" t="n"/>
      <c r="I22" s="18">
        <f>IFERROR($H22/$D22-1,"")</f>
        <v/>
      </c>
      <c r="J22" s="15" t="n"/>
      <c r="K22" s="19">
        <f>IF($A22="","",IFERROR(INDEX(学校マスタ!$G$2:$G$71,MATCH($A22,学校マスタ!$A$2:$A$71,0)),""))</f>
        <v/>
      </c>
      <c r="L22" s="17">
        <f>IF(OR($A22="",$H22="",$J22=""),"",IF($K22="なし",0,$H22-$J22))</f>
        <v/>
      </c>
      <c r="M22" s="16" t="n"/>
      <c r="N22" s="17">
        <f>IFERROR($L22*$M22,"")</f>
        <v/>
      </c>
      <c r="O22" s="20">
        <f>IFERROR($L22/$H22,"")</f>
        <v/>
      </c>
      <c r="P22" s="19">
        <f>IF($A22="","",IFERROR(INDEX(学校マスタ!$F$2:$F$71,MATCH($A22,学校マスタ!$A$2:$A$71,0)),""))</f>
        <v/>
      </c>
    </row>
    <row r="23">
      <c r="A23" s="6" t="n"/>
      <c r="B23" s="6" t="n"/>
      <c r="C23" s="6" t="n"/>
      <c r="D23" s="15" t="n"/>
      <c r="E23" s="15" t="n"/>
      <c r="F23" s="16" t="n"/>
      <c r="G23" s="17">
        <f>IFERROR($D23*$F23,"")</f>
        <v/>
      </c>
      <c r="H23" s="15" t="n"/>
      <c r="I23" s="18">
        <f>IFERROR($H23/$D23-1,"")</f>
        <v/>
      </c>
      <c r="J23" s="15" t="n"/>
      <c r="K23" s="19">
        <f>IF($A23="","",IFERROR(INDEX(学校マスタ!$G$2:$G$71,MATCH($A23,学校マスタ!$A$2:$A$71,0)),""))</f>
        <v/>
      </c>
      <c r="L23" s="17">
        <f>IF(OR($A23="",$H23="",$J23=""),"",IF($K23="なし",0,$H23-$J23))</f>
        <v/>
      </c>
      <c r="M23" s="16" t="n"/>
      <c r="N23" s="17">
        <f>IFERROR($L23*$M23,"")</f>
        <v/>
      </c>
      <c r="O23" s="20">
        <f>IFERROR($L23/$H23,"")</f>
        <v/>
      </c>
      <c r="P23" s="19">
        <f>IF($A23="","",IFERROR(INDEX(学校マスタ!$F$2:$F$71,MATCH($A23,学校マスタ!$A$2:$A$71,0)),""))</f>
        <v/>
      </c>
    </row>
    <row r="24">
      <c r="A24" s="6" t="n"/>
      <c r="B24" s="6" t="n"/>
      <c r="C24" s="6" t="n"/>
      <c r="D24" s="15" t="n"/>
      <c r="E24" s="15" t="n"/>
      <c r="F24" s="16" t="n"/>
      <c r="G24" s="17">
        <f>IFERROR($D24*$F24,"")</f>
        <v/>
      </c>
      <c r="H24" s="15" t="n"/>
      <c r="I24" s="18">
        <f>IFERROR($H24/$D24-1,"")</f>
        <v/>
      </c>
      <c r="J24" s="15" t="n"/>
      <c r="K24" s="19">
        <f>IF($A24="","",IFERROR(INDEX(学校マスタ!$G$2:$G$71,MATCH($A24,学校マスタ!$A$2:$A$71,0)),""))</f>
        <v/>
      </c>
      <c r="L24" s="17">
        <f>IF(OR($A24="",$H24="",$J24=""),"",IF($K24="なし",0,$H24-$J24))</f>
        <v/>
      </c>
      <c r="M24" s="16" t="n"/>
      <c r="N24" s="17">
        <f>IFERROR($L24*$M24,"")</f>
        <v/>
      </c>
      <c r="O24" s="20">
        <f>IFERROR($L24/$H24,"")</f>
        <v/>
      </c>
      <c r="P24" s="19">
        <f>IF($A24="","",IFERROR(INDEX(学校マスタ!$F$2:$F$71,MATCH($A24,学校マスタ!$A$2:$A$71,0)),""))</f>
        <v/>
      </c>
    </row>
    <row r="25">
      <c r="A25" s="6" t="n"/>
      <c r="B25" s="6" t="n"/>
      <c r="C25" s="6" t="n"/>
      <c r="D25" s="15" t="n"/>
      <c r="E25" s="15" t="n"/>
      <c r="F25" s="16" t="n"/>
      <c r="G25" s="17">
        <f>IFERROR($D25*$F25,"")</f>
        <v/>
      </c>
      <c r="H25" s="15" t="n"/>
      <c r="I25" s="18">
        <f>IFERROR($H25/$D25-1,"")</f>
        <v/>
      </c>
      <c r="J25" s="15" t="n"/>
      <c r="K25" s="19">
        <f>IF($A25="","",IFERROR(INDEX(学校マスタ!$G$2:$G$71,MATCH($A25,学校マスタ!$A$2:$A$71,0)),""))</f>
        <v/>
      </c>
      <c r="L25" s="17">
        <f>IF(OR($A25="",$H25="",$J25=""),"",IF($K25="なし",0,$H25-$J25))</f>
        <v/>
      </c>
      <c r="M25" s="16" t="n"/>
      <c r="N25" s="17">
        <f>IFERROR($L25*$M25,"")</f>
        <v/>
      </c>
      <c r="O25" s="20">
        <f>IFERROR($L25/$H25,"")</f>
        <v/>
      </c>
      <c r="P25" s="19">
        <f>IF($A25="","",IFERROR(INDEX(学校マスタ!$F$2:$F$71,MATCH($A25,学校マスタ!$A$2:$A$71,0)),""))</f>
        <v/>
      </c>
    </row>
    <row r="26">
      <c r="A26" s="6" t="n"/>
      <c r="B26" s="6" t="n"/>
      <c r="C26" s="6" t="n"/>
      <c r="D26" s="15" t="n"/>
      <c r="E26" s="15" t="n"/>
      <c r="F26" s="16" t="n"/>
      <c r="G26" s="17">
        <f>IFERROR($D26*$F26,"")</f>
        <v/>
      </c>
      <c r="H26" s="15" t="n"/>
      <c r="I26" s="18">
        <f>IFERROR($H26/$D26-1,"")</f>
        <v/>
      </c>
      <c r="J26" s="15" t="n"/>
      <c r="K26" s="19">
        <f>IF($A26="","",IFERROR(INDEX(学校マスタ!$G$2:$G$71,MATCH($A26,学校マスタ!$A$2:$A$71,0)),""))</f>
        <v/>
      </c>
      <c r="L26" s="17">
        <f>IF(OR($A26="",$H26="",$J26=""),"",IF($K26="なし",0,$H26-$J26))</f>
        <v/>
      </c>
      <c r="M26" s="16" t="n"/>
      <c r="N26" s="17">
        <f>IFERROR($L26*$M26,"")</f>
        <v/>
      </c>
      <c r="O26" s="20">
        <f>IFERROR($L26/$H26,"")</f>
        <v/>
      </c>
      <c r="P26" s="19">
        <f>IF($A26="","",IFERROR(INDEX(学校マスタ!$F$2:$F$71,MATCH($A26,学校マスタ!$A$2:$A$71,0)),""))</f>
        <v/>
      </c>
    </row>
    <row r="27">
      <c r="A27" s="6" t="n"/>
      <c r="B27" s="6" t="n"/>
      <c r="C27" s="6" t="n"/>
      <c r="D27" s="15" t="n"/>
      <c r="E27" s="15" t="n"/>
      <c r="F27" s="16" t="n"/>
      <c r="G27" s="17">
        <f>IFERROR($D27*$F27,"")</f>
        <v/>
      </c>
      <c r="H27" s="15" t="n"/>
      <c r="I27" s="18">
        <f>IFERROR($H27/$D27-1,"")</f>
        <v/>
      </c>
      <c r="J27" s="15" t="n"/>
      <c r="K27" s="19">
        <f>IF($A27="","",IFERROR(INDEX(学校マスタ!$G$2:$G$71,MATCH($A27,学校マスタ!$A$2:$A$71,0)),""))</f>
        <v/>
      </c>
      <c r="L27" s="17">
        <f>IF(OR($A27="",$H27="",$J27=""),"",IF($K27="なし",0,$H27-$J27))</f>
        <v/>
      </c>
      <c r="M27" s="16" t="n"/>
      <c r="N27" s="17">
        <f>IFERROR($L27*$M27,"")</f>
        <v/>
      </c>
      <c r="O27" s="20">
        <f>IFERROR($L27/$H27,"")</f>
        <v/>
      </c>
      <c r="P27" s="19">
        <f>IF($A27="","",IFERROR(INDEX(学校マスタ!$F$2:$F$71,MATCH($A27,学校マスタ!$A$2:$A$71,0)),""))</f>
        <v/>
      </c>
    </row>
    <row r="28">
      <c r="A28" s="6" t="n"/>
      <c r="B28" s="6" t="n"/>
      <c r="C28" s="6" t="n"/>
      <c r="D28" s="15" t="n"/>
      <c r="E28" s="15" t="n"/>
      <c r="F28" s="16" t="n"/>
      <c r="G28" s="17">
        <f>IFERROR($D28*$F28,"")</f>
        <v/>
      </c>
      <c r="H28" s="15" t="n"/>
      <c r="I28" s="18">
        <f>IFERROR($H28/$D28-1,"")</f>
        <v/>
      </c>
      <c r="J28" s="15" t="n"/>
      <c r="K28" s="19">
        <f>IF($A28="","",IFERROR(INDEX(学校マスタ!$G$2:$G$71,MATCH($A28,学校マスタ!$A$2:$A$71,0)),""))</f>
        <v/>
      </c>
      <c r="L28" s="17">
        <f>IF(OR($A28="",$H28="",$J28=""),"",IF($K28="なし",0,$H28-$J28))</f>
        <v/>
      </c>
      <c r="M28" s="16" t="n"/>
      <c r="N28" s="17">
        <f>IFERROR($L28*$M28,"")</f>
        <v/>
      </c>
      <c r="O28" s="20">
        <f>IFERROR($L28/$H28,"")</f>
        <v/>
      </c>
      <c r="P28" s="19">
        <f>IF($A28="","",IFERROR(INDEX(学校マスタ!$F$2:$F$71,MATCH($A28,学校マスタ!$A$2:$A$71,0)),""))</f>
        <v/>
      </c>
    </row>
    <row r="29">
      <c r="A29" s="6" t="n"/>
      <c r="B29" s="6" t="n"/>
      <c r="C29" s="6" t="n"/>
      <c r="D29" s="15" t="n"/>
      <c r="E29" s="15" t="n"/>
      <c r="F29" s="16" t="n"/>
      <c r="G29" s="17">
        <f>IFERROR($D29*$F29,"")</f>
        <v/>
      </c>
      <c r="H29" s="15" t="n"/>
      <c r="I29" s="18">
        <f>IFERROR($H29/$D29-1,"")</f>
        <v/>
      </c>
      <c r="J29" s="15" t="n"/>
      <c r="K29" s="19">
        <f>IF($A29="","",IFERROR(INDEX(学校マスタ!$G$2:$G$71,MATCH($A29,学校マスタ!$A$2:$A$71,0)),""))</f>
        <v/>
      </c>
      <c r="L29" s="17">
        <f>IF(OR($A29="",$H29="",$J29=""),"",IF($K29="なし",0,$H29-$J29))</f>
        <v/>
      </c>
      <c r="M29" s="16" t="n"/>
      <c r="N29" s="17">
        <f>IFERROR($L29*$M29,"")</f>
        <v/>
      </c>
      <c r="O29" s="20">
        <f>IFERROR($L29/$H29,"")</f>
        <v/>
      </c>
      <c r="P29" s="19">
        <f>IF($A29="","",IFERROR(INDEX(学校マスタ!$F$2:$F$71,MATCH($A29,学校マスタ!$A$2:$A$71,0)),""))</f>
        <v/>
      </c>
    </row>
    <row r="30">
      <c r="A30" s="6" t="n"/>
      <c r="B30" s="6" t="n"/>
      <c r="C30" s="6" t="n"/>
      <c r="D30" s="15" t="n"/>
      <c r="E30" s="15" t="n"/>
      <c r="F30" s="16" t="n"/>
      <c r="G30" s="17">
        <f>IFERROR($D30*$F30,"")</f>
        <v/>
      </c>
      <c r="H30" s="15" t="n"/>
      <c r="I30" s="18">
        <f>IFERROR($H30/$D30-1,"")</f>
        <v/>
      </c>
      <c r="J30" s="15" t="n"/>
      <c r="K30" s="19">
        <f>IF($A30="","",IFERROR(INDEX(学校マスタ!$G$2:$G$71,MATCH($A30,学校マスタ!$A$2:$A$71,0)),""))</f>
        <v/>
      </c>
      <c r="L30" s="17">
        <f>IF(OR($A30="",$H30="",$J30=""),"",IF($K30="なし",0,$H30-$J30))</f>
        <v/>
      </c>
      <c r="M30" s="16" t="n"/>
      <c r="N30" s="17">
        <f>IFERROR($L30*$M30,"")</f>
        <v/>
      </c>
      <c r="O30" s="20">
        <f>IFERROR($L30/$H30,"")</f>
        <v/>
      </c>
      <c r="P30" s="19">
        <f>IF($A30="","",IFERROR(INDEX(学校マスタ!$F$2:$F$71,MATCH($A30,学校マスタ!$A$2:$A$71,0)),""))</f>
        <v/>
      </c>
    </row>
    <row r="31">
      <c r="A31" s="6" t="n"/>
      <c r="B31" s="6" t="n"/>
      <c r="C31" s="6" t="n"/>
      <c r="D31" s="15" t="n"/>
      <c r="E31" s="15" t="n"/>
      <c r="F31" s="16" t="n"/>
      <c r="G31" s="17">
        <f>IFERROR($D31*$F31,"")</f>
        <v/>
      </c>
      <c r="H31" s="15" t="n"/>
      <c r="I31" s="18">
        <f>IFERROR($H31/$D31-1,"")</f>
        <v/>
      </c>
      <c r="J31" s="15" t="n"/>
      <c r="K31" s="19">
        <f>IF($A31="","",IFERROR(INDEX(学校マスタ!$G$2:$G$71,MATCH($A31,学校マスタ!$A$2:$A$71,0)),""))</f>
        <v/>
      </c>
      <c r="L31" s="17">
        <f>IF(OR($A31="",$H31="",$J31=""),"",IF($K31="なし",0,$H31-$J31))</f>
        <v/>
      </c>
      <c r="M31" s="16" t="n"/>
      <c r="N31" s="17">
        <f>IFERROR($L31*$M31,"")</f>
        <v/>
      </c>
      <c r="O31" s="20">
        <f>IFERROR($L31/$H31,"")</f>
        <v/>
      </c>
      <c r="P31" s="19">
        <f>IF($A31="","",IFERROR(INDEX(学校マスタ!$F$2:$F$71,MATCH($A31,学校マスタ!$A$2:$A$71,0)),""))</f>
        <v/>
      </c>
    </row>
    <row r="32">
      <c r="A32" s="6" t="n"/>
      <c r="B32" s="6" t="n"/>
      <c r="C32" s="6" t="n"/>
      <c r="D32" s="15" t="n"/>
      <c r="E32" s="15" t="n"/>
      <c r="F32" s="16" t="n"/>
      <c r="G32" s="17">
        <f>IFERROR($D32*$F32,"")</f>
        <v/>
      </c>
      <c r="H32" s="15" t="n"/>
      <c r="I32" s="18">
        <f>IFERROR($H32/$D32-1,"")</f>
        <v/>
      </c>
      <c r="J32" s="15" t="n"/>
      <c r="K32" s="19">
        <f>IF($A32="","",IFERROR(INDEX(学校マスタ!$G$2:$G$71,MATCH($A32,学校マスタ!$A$2:$A$71,0)),""))</f>
        <v/>
      </c>
      <c r="L32" s="17">
        <f>IF(OR($A32="",$H32="",$J32=""),"",IF($K32="なし",0,$H32-$J32))</f>
        <v/>
      </c>
      <c r="M32" s="16" t="n"/>
      <c r="N32" s="17">
        <f>IFERROR($L32*$M32,"")</f>
        <v/>
      </c>
      <c r="O32" s="20">
        <f>IFERROR($L32/$H32,"")</f>
        <v/>
      </c>
      <c r="P32" s="19">
        <f>IF($A32="","",IFERROR(INDEX(学校マスタ!$F$2:$F$71,MATCH($A32,学校マスタ!$A$2:$A$71,0)),""))</f>
        <v/>
      </c>
    </row>
    <row r="33">
      <c r="A33" s="6" t="n"/>
      <c r="B33" s="6" t="n"/>
      <c r="C33" s="6" t="n"/>
      <c r="D33" s="15" t="n"/>
      <c r="E33" s="15" t="n"/>
      <c r="F33" s="16" t="n"/>
      <c r="G33" s="17">
        <f>IFERROR($D33*$F33,"")</f>
        <v/>
      </c>
      <c r="H33" s="15" t="n"/>
      <c r="I33" s="18">
        <f>IFERROR($H33/$D33-1,"")</f>
        <v/>
      </c>
      <c r="J33" s="15" t="n"/>
      <c r="K33" s="19">
        <f>IF($A33="","",IFERROR(INDEX(学校マスタ!$G$2:$G$71,MATCH($A33,学校マスタ!$A$2:$A$71,0)),""))</f>
        <v/>
      </c>
      <c r="L33" s="17">
        <f>IF(OR($A33="",$H33="",$J33=""),"",IF($K33="なし",0,$H33-$J33))</f>
        <v/>
      </c>
      <c r="M33" s="16" t="n"/>
      <c r="N33" s="17">
        <f>IFERROR($L33*$M33,"")</f>
        <v/>
      </c>
      <c r="O33" s="20">
        <f>IFERROR($L33/$H33,"")</f>
        <v/>
      </c>
      <c r="P33" s="19">
        <f>IF($A33="","",IFERROR(INDEX(学校マスタ!$F$2:$F$71,MATCH($A33,学校マスタ!$A$2:$A$71,0)),""))</f>
        <v/>
      </c>
    </row>
    <row r="34">
      <c r="A34" s="6" t="n"/>
      <c r="B34" s="6" t="n"/>
      <c r="C34" s="6" t="n"/>
      <c r="D34" s="15" t="n"/>
      <c r="E34" s="15" t="n"/>
      <c r="F34" s="16" t="n"/>
      <c r="G34" s="17">
        <f>IFERROR($D34*$F34,"")</f>
        <v/>
      </c>
      <c r="H34" s="15" t="n"/>
      <c r="I34" s="18">
        <f>IFERROR($H34/$D34-1,"")</f>
        <v/>
      </c>
      <c r="J34" s="15" t="n"/>
      <c r="K34" s="19">
        <f>IF($A34="","",IFERROR(INDEX(学校マスタ!$G$2:$G$71,MATCH($A34,学校マスタ!$A$2:$A$71,0)),""))</f>
        <v/>
      </c>
      <c r="L34" s="17">
        <f>IF(OR($A34="",$H34="",$J34=""),"",IF($K34="なし",0,$H34-$J34))</f>
        <v/>
      </c>
      <c r="M34" s="16" t="n"/>
      <c r="N34" s="17">
        <f>IFERROR($L34*$M34,"")</f>
        <v/>
      </c>
      <c r="O34" s="20">
        <f>IFERROR($L34/$H34,"")</f>
        <v/>
      </c>
      <c r="P34" s="19">
        <f>IF($A34="","",IFERROR(INDEX(学校マスタ!$F$2:$F$71,MATCH($A34,学校マスタ!$A$2:$A$71,0)),""))</f>
        <v/>
      </c>
    </row>
    <row r="35">
      <c r="A35" s="6" t="n"/>
      <c r="B35" s="6" t="n"/>
      <c r="C35" s="6" t="n"/>
      <c r="D35" s="15" t="n"/>
      <c r="E35" s="15" t="n"/>
      <c r="F35" s="16" t="n"/>
      <c r="G35" s="17">
        <f>IFERROR($D35*$F35,"")</f>
        <v/>
      </c>
      <c r="H35" s="15" t="n"/>
      <c r="I35" s="18">
        <f>IFERROR($H35/$D35-1,"")</f>
        <v/>
      </c>
      <c r="J35" s="15" t="n"/>
      <c r="K35" s="19">
        <f>IF($A35="","",IFERROR(INDEX(学校マスタ!$G$2:$G$71,MATCH($A35,学校マスタ!$A$2:$A$71,0)),""))</f>
        <v/>
      </c>
      <c r="L35" s="17">
        <f>IF(OR($A35="",$H35="",$J35=""),"",IF($K35="なし",0,$H35-$J35))</f>
        <v/>
      </c>
      <c r="M35" s="16" t="n"/>
      <c r="N35" s="17">
        <f>IFERROR($L35*$M35,"")</f>
        <v/>
      </c>
      <c r="O35" s="20">
        <f>IFERROR($L35/$H35,"")</f>
        <v/>
      </c>
      <c r="P35" s="19">
        <f>IF($A35="","",IFERROR(INDEX(学校マスタ!$F$2:$F$71,MATCH($A35,学校マスタ!$A$2:$A$71,0)),""))</f>
        <v/>
      </c>
    </row>
    <row r="36">
      <c r="A36" s="6" t="n"/>
      <c r="B36" s="6" t="n"/>
      <c r="C36" s="6" t="n"/>
      <c r="D36" s="15" t="n"/>
      <c r="E36" s="15" t="n"/>
      <c r="F36" s="16" t="n"/>
      <c r="G36" s="17">
        <f>IFERROR($D36*$F36,"")</f>
        <v/>
      </c>
      <c r="H36" s="15" t="n"/>
      <c r="I36" s="18">
        <f>IFERROR($H36/$D36-1,"")</f>
        <v/>
      </c>
      <c r="J36" s="15" t="n"/>
      <c r="K36" s="19">
        <f>IF($A36="","",IFERROR(INDEX(学校マスタ!$G$2:$G$71,MATCH($A36,学校マスタ!$A$2:$A$71,0)),""))</f>
        <v/>
      </c>
      <c r="L36" s="17">
        <f>IF(OR($A36="",$H36="",$J36=""),"",IF($K36="なし",0,$H36-$J36))</f>
        <v/>
      </c>
      <c r="M36" s="16" t="n"/>
      <c r="N36" s="17">
        <f>IFERROR($L36*$M36,"")</f>
        <v/>
      </c>
      <c r="O36" s="20">
        <f>IFERROR($L36/$H36,"")</f>
        <v/>
      </c>
      <c r="P36" s="19">
        <f>IF($A36="","",IFERROR(INDEX(学校マスタ!$F$2:$F$71,MATCH($A36,学校マスタ!$A$2:$A$71,0)),""))</f>
        <v/>
      </c>
    </row>
    <row r="37">
      <c r="A37" s="6" t="n"/>
      <c r="B37" s="6" t="n"/>
      <c r="C37" s="6" t="n"/>
      <c r="D37" s="15" t="n"/>
      <c r="E37" s="15" t="n"/>
      <c r="F37" s="16" t="n"/>
      <c r="G37" s="17">
        <f>IFERROR($D37*$F37,"")</f>
        <v/>
      </c>
      <c r="H37" s="15" t="n"/>
      <c r="I37" s="18">
        <f>IFERROR($H37/$D37-1,"")</f>
        <v/>
      </c>
      <c r="J37" s="15" t="n"/>
      <c r="K37" s="19">
        <f>IF($A37="","",IFERROR(INDEX(学校マスタ!$G$2:$G$71,MATCH($A37,学校マスタ!$A$2:$A$71,0)),""))</f>
        <v/>
      </c>
      <c r="L37" s="17">
        <f>IF(OR($A37="",$H37="",$J37=""),"",IF($K37="なし",0,$H37-$J37))</f>
        <v/>
      </c>
      <c r="M37" s="16" t="n"/>
      <c r="N37" s="17">
        <f>IFERROR($L37*$M37,"")</f>
        <v/>
      </c>
      <c r="O37" s="20">
        <f>IFERROR($L37/$H37,"")</f>
        <v/>
      </c>
      <c r="P37" s="19">
        <f>IF($A37="","",IFERROR(INDEX(学校マスタ!$F$2:$F$71,MATCH($A37,学校マスタ!$A$2:$A$71,0)),""))</f>
        <v/>
      </c>
    </row>
    <row r="38">
      <c r="A38" s="6" t="n"/>
      <c r="B38" s="6" t="n"/>
      <c r="C38" s="6" t="n"/>
      <c r="D38" s="15" t="n"/>
      <c r="E38" s="15" t="n"/>
      <c r="F38" s="16" t="n"/>
      <c r="G38" s="17">
        <f>IFERROR($D38*$F38,"")</f>
        <v/>
      </c>
      <c r="H38" s="15" t="n"/>
      <c r="I38" s="18">
        <f>IFERROR($H38/$D38-1,"")</f>
        <v/>
      </c>
      <c r="J38" s="15" t="n"/>
      <c r="K38" s="19">
        <f>IF($A38="","",IFERROR(INDEX(学校マスタ!$G$2:$G$71,MATCH($A38,学校マスタ!$A$2:$A$71,0)),""))</f>
        <v/>
      </c>
      <c r="L38" s="17">
        <f>IF(OR($A38="",$H38="",$J38=""),"",IF($K38="なし",0,$H38-$J38))</f>
        <v/>
      </c>
      <c r="M38" s="16" t="n"/>
      <c r="N38" s="17">
        <f>IFERROR($L38*$M38,"")</f>
        <v/>
      </c>
      <c r="O38" s="20">
        <f>IFERROR($L38/$H38,"")</f>
        <v/>
      </c>
      <c r="P38" s="19">
        <f>IF($A38="","",IFERROR(INDEX(学校マスタ!$F$2:$F$71,MATCH($A38,学校マスタ!$A$2:$A$71,0)),""))</f>
        <v/>
      </c>
    </row>
    <row r="39">
      <c r="A39" s="6" t="n"/>
      <c r="B39" s="6" t="n"/>
      <c r="C39" s="6" t="n"/>
      <c r="D39" s="15" t="n"/>
      <c r="E39" s="15" t="n"/>
      <c r="F39" s="16" t="n"/>
      <c r="G39" s="17">
        <f>IFERROR($D39*$F39,"")</f>
        <v/>
      </c>
      <c r="H39" s="15" t="n"/>
      <c r="I39" s="18">
        <f>IFERROR($H39/$D39-1,"")</f>
        <v/>
      </c>
      <c r="J39" s="15" t="n"/>
      <c r="K39" s="19">
        <f>IF($A39="","",IFERROR(INDEX(学校マスタ!$G$2:$G$71,MATCH($A39,学校マスタ!$A$2:$A$71,0)),""))</f>
        <v/>
      </c>
      <c r="L39" s="17">
        <f>IF(OR($A39="",$H39="",$J39=""),"",IF($K39="なし",0,$H39-$J39))</f>
        <v/>
      </c>
      <c r="M39" s="16" t="n"/>
      <c r="N39" s="17">
        <f>IFERROR($L39*$M39,"")</f>
        <v/>
      </c>
      <c r="O39" s="20">
        <f>IFERROR($L39/$H39,"")</f>
        <v/>
      </c>
      <c r="P39" s="19">
        <f>IF($A39="","",IFERROR(INDEX(学校マスタ!$F$2:$F$71,MATCH($A39,学校マスタ!$A$2:$A$71,0)),""))</f>
        <v/>
      </c>
    </row>
    <row r="40">
      <c r="A40" s="6" t="n"/>
      <c r="B40" s="6" t="n"/>
      <c r="C40" s="6" t="n"/>
      <c r="D40" s="15" t="n"/>
      <c r="E40" s="15" t="n"/>
      <c r="F40" s="16" t="n"/>
      <c r="G40" s="17">
        <f>IFERROR($D40*$F40,"")</f>
        <v/>
      </c>
      <c r="H40" s="15" t="n"/>
      <c r="I40" s="18">
        <f>IFERROR($H40/$D40-1,"")</f>
        <v/>
      </c>
      <c r="J40" s="15" t="n"/>
      <c r="K40" s="19">
        <f>IF($A40="","",IFERROR(INDEX(学校マスタ!$G$2:$G$71,MATCH($A40,学校マスタ!$A$2:$A$71,0)),""))</f>
        <v/>
      </c>
      <c r="L40" s="17">
        <f>IF(OR($A40="",$H40="",$J40=""),"",IF($K40="なし",0,$H40-$J40))</f>
        <v/>
      </c>
      <c r="M40" s="16" t="n"/>
      <c r="N40" s="17">
        <f>IFERROR($L40*$M40,"")</f>
        <v/>
      </c>
      <c r="O40" s="20">
        <f>IFERROR($L40/$H40,"")</f>
        <v/>
      </c>
      <c r="P40" s="19">
        <f>IF($A40="","",IFERROR(INDEX(学校マスタ!$F$2:$F$71,MATCH($A40,学校マスタ!$A$2:$A$71,0)),""))</f>
        <v/>
      </c>
    </row>
    <row r="41">
      <c r="A41" s="6" t="n"/>
      <c r="B41" s="6" t="n"/>
      <c r="C41" s="6" t="n"/>
      <c r="D41" s="15" t="n"/>
      <c r="E41" s="15" t="n"/>
      <c r="F41" s="16" t="n"/>
      <c r="G41" s="17">
        <f>IFERROR($D41*$F41,"")</f>
        <v/>
      </c>
      <c r="H41" s="15" t="n"/>
      <c r="I41" s="18">
        <f>IFERROR($H41/$D41-1,"")</f>
        <v/>
      </c>
      <c r="J41" s="15" t="n"/>
      <c r="K41" s="19">
        <f>IF($A41="","",IFERROR(INDEX(学校マスタ!$G$2:$G$71,MATCH($A41,学校マスタ!$A$2:$A$71,0)),""))</f>
        <v/>
      </c>
      <c r="L41" s="17">
        <f>IF(OR($A41="",$H41="",$J41=""),"",IF($K41="なし",0,$H41-$J41))</f>
        <v/>
      </c>
      <c r="M41" s="16" t="n"/>
      <c r="N41" s="17">
        <f>IFERROR($L41*$M41,"")</f>
        <v/>
      </c>
      <c r="O41" s="20">
        <f>IFERROR($L41/$H41,"")</f>
        <v/>
      </c>
      <c r="P41" s="19">
        <f>IF($A41="","",IFERROR(INDEX(学校マスタ!$F$2:$F$71,MATCH($A41,学校マスタ!$A$2:$A$71,0)),""))</f>
        <v/>
      </c>
    </row>
    <row r="42">
      <c r="A42" s="6" t="n"/>
      <c r="B42" s="6" t="n"/>
      <c r="C42" s="6" t="n"/>
      <c r="D42" s="15" t="n"/>
      <c r="E42" s="15" t="n"/>
      <c r="F42" s="16" t="n"/>
      <c r="G42" s="17">
        <f>IFERROR($D42*$F42,"")</f>
        <v/>
      </c>
      <c r="H42" s="15" t="n"/>
      <c r="I42" s="18">
        <f>IFERROR($H42/$D42-1,"")</f>
        <v/>
      </c>
      <c r="J42" s="15" t="n"/>
      <c r="K42" s="19">
        <f>IF($A42="","",IFERROR(INDEX(学校マスタ!$G$2:$G$71,MATCH($A42,学校マスタ!$A$2:$A$71,0)),""))</f>
        <v/>
      </c>
      <c r="L42" s="17">
        <f>IF(OR($A42="",$H42="",$J42=""),"",IF($K42="なし",0,$H42-$J42))</f>
        <v/>
      </c>
      <c r="M42" s="16" t="n"/>
      <c r="N42" s="17">
        <f>IFERROR($L42*$M42,"")</f>
        <v/>
      </c>
      <c r="O42" s="20">
        <f>IFERROR($L42/$H42,"")</f>
        <v/>
      </c>
      <c r="P42" s="19">
        <f>IF($A42="","",IFERROR(INDEX(学校マスタ!$F$2:$F$71,MATCH($A42,学校マスタ!$A$2:$A$71,0)),""))</f>
        <v/>
      </c>
    </row>
    <row r="43">
      <c r="A43" s="6" t="n"/>
      <c r="B43" s="6" t="n"/>
      <c r="C43" s="6" t="n"/>
      <c r="D43" s="15" t="n"/>
      <c r="E43" s="15" t="n"/>
      <c r="F43" s="16" t="n"/>
      <c r="G43" s="17">
        <f>IFERROR($D43*$F43,"")</f>
        <v/>
      </c>
      <c r="H43" s="15" t="n"/>
      <c r="I43" s="18">
        <f>IFERROR($H43/$D43-1,"")</f>
        <v/>
      </c>
      <c r="J43" s="15" t="n"/>
      <c r="K43" s="19">
        <f>IF($A43="","",IFERROR(INDEX(学校マスタ!$G$2:$G$71,MATCH($A43,学校マスタ!$A$2:$A$71,0)),""))</f>
        <v/>
      </c>
      <c r="L43" s="17">
        <f>IF(OR($A43="",$H43="",$J43=""),"",IF($K43="なし",0,$H43-$J43))</f>
        <v/>
      </c>
      <c r="M43" s="16" t="n"/>
      <c r="N43" s="17">
        <f>IFERROR($L43*$M43,"")</f>
        <v/>
      </c>
      <c r="O43" s="20">
        <f>IFERROR($L43/$H43,"")</f>
        <v/>
      </c>
      <c r="P43" s="19">
        <f>IF($A43="","",IFERROR(INDEX(学校マスタ!$F$2:$F$71,MATCH($A43,学校マスタ!$A$2:$A$71,0)),""))</f>
        <v/>
      </c>
    </row>
    <row r="44">
      <c r="A44" s="6" t="n"/>
      <c r="B44" s="6" t="n"/>
      <c r="C44" s="6" t="n"/>
      <c r="D44" s="15" t="n"/>
      <c r="E44" s="15" t="n"/>
      <c r="F44" s="16" t="n"/>
      <c r="G44" s="17">
        <f>IFERROR($D44*$F44,"")</f>
        <v/>
      </c>
      <c r="H44" s="15" t="n"/>
      <c r="I44" s="18">
        <f>IFERROR($H44/$D44-1,"")</f>
        <v/>
      </c>
      <c r="J44" s="15" t="n"/>
      <c r="K44" s="19">
        <f>IF($A44="","",IFERROR(INDEX(学校マスタ!$G$2:$G$71,MATCH($A44,学校マスタ!$A$2:$A$71,0)),""))</f>
        <v/>
      </c>
      <c r="L44" s="17">
        <f>IF(OR($A44="",$H44="",$J44=""),"",IF($K44="なし",0,$H44-$J44))</f>
        <v/>
      </c>
      <c r="M44" s="16" t="n"/>
      <c r="N44" s="17">
        <f>IFERROR($L44*$M44,"")</f>
        <v/>
      </c>
      <c r="O44" s="20">
        <f>IFERROR($L44/$H44,"")</f>
        <v/>
      </c>
      <c r="P44" s="19">
        <f>IF($A44="","",IFERROR(INDEX(学校マスタ!$F$2:$F$71,MATCH($A44,学校マスタ!$A$2:$A$71,0)),""))</f>
        <v/>
      </c>
    </row>
    <row r="45">
      <c r="A45" s="6" t="n"/>
      <c r="B45" s="6" t="n"/>
      <c r="C45" s="6" t="n"/>
      <c r="D45" s="15" t="n"/>
      <c r="E45" s="15" t="n"/>
      <c r="F45" s="16" t="n"/>
      <c r="G45" s="17">
        <f>IFERROR($D45*$F45,"")</f>
        <v/>
      </c>
      <c r="H45" s="15" t="n"/>
      <c r="I45" s="18">
        <f>IFERROR($H45/$D45-1,"")</f>
        <v/>
      </c>
      <c r="J45" s="15" t="n"/>
      <c r="K45" s="19">
        <f>IF($A45="","",IFERROR(INDEX(学校マスタ!$G$2:$G$71,MATCH($A45,学校マスタ!$A$2:$A$71,0)),""))</f>
        <v/>
      </c>
      <c r="L45" s="17">
        <f>IF(OR($A45="",$H45="",$J45=""),"",IF($K45="なし",0,$H45-$J45))</f>
        <v/>
      </c>
      <c r="M45" s="16" t="n"/>
      <c r="N45" s="17">
        <f>IFERROR($L45*$M45,"")</f>
        <v/>
      </c>
      <c r="O45" s="20">
        <f>IFERROR($L45/$H45,"")</f>
        <v/>
      </c>
      <c r="P45" s="19">
        <f>IF($A45="","",IFERROR(INDEX(学校マスタ!$F$2:$F$71,MATCH($A45,学校マスタ!$A$2:$A$71,0)),""))</f>
        <v/>
      </c>
    </row>
    <row r="46">
      <c r="A46" s="6" t="n"/>
      <c r="B46" s="6" t="n"/>
      <c r="C46" s="6" t="n"/>
      <c r="D46" s="15" t="n"/>
      <c r="E46" s="15" t="n"/>
      <c r="F46" s="16" t="n"/>
      <c r="G46" s="17">
        <f>IFERROR($D46*$F46,"")</f>
        <v/>
      </c>
      <c r="H46" s="15" t="n"/>
      <c r="I46" s="18">
        <f>IFERROR($H46/$D46-1,"")</f>
        <v/>
      </c>
      <c r="J46" s="15" t="n"/>
      <c r="K46" s="19">
        <f>IF($A46="","",IFERROR(INDEX(学校マスタ!$G$2:$G$71,MATCH($A46,学校マスタ!$A$2:$A$71,0)),""))</f>
        <v/>
      </c>
      <c r="L46" s="17">
        <f>IF(OR($A46="",$H46="",$J46=""),"",IF($K46="なし",0,$H46-$J46))</f>
        <v/>
      </c>
      <c r="M46" s="16" t="n"/>
      <c r="N46" s="17">
        <f>IFERROR($L46*$M46,"")</f>
        <v/>
      </c>
      <c r="O46" s="20">
        <f>IFERROR($L46/$H46,"")</f>
        <v/>
      </c>
      <c r="P46" s="19">
        <f>IF($A46="","",IFERROR(INDEX(学校マスタ!$F$2:$F$71,MATCH($A46,学校マスタ!$A$2:$A$71,0)),""))</f>
        <v/>
      </c>
    </row>
    <row r="47">
      <c r="A47" s="6" t="n"/>
      <c r="B47" s="6" t="n"/>
      <c r="C47" s="6" t="n"/>
      <c r="D47" s="15" t="n"/>
      <c r="E47" s="15" t="n"/>
      <c r="F47" s="16" t="n"/>
      <c r="G47" s="17">
        <f>IFERROR($D47*$F47,"")</f>
        <v/>
      </c>
      <c r="H47" s="15" t="n"/>
      <c r="I47" s="18">
        <f>IFERROR($H47/$D47-1,"")</f>
        <v/>
      </c>
      <c r="J47" s="15" t="n"/>
      <c r="K47" s="19">
        <f>IF($A47="","",IFERROR(INDEX(学校マスタ!$G$2:$G$71,MATCH($A47,学校マスタ!$A$2:$A$71,0)),""))</f>
        <v/>
      </c>
      <c r="L47" s="17">
        <f>IF(OR($A47="",$H47="",$J47=""),"",IF($K47="なし",0,$H47-$J47))</f>
        <v/>
      </c>
      <c r="M47" s="16" t="n"/>
      <c r="N47" s="17">
        <f>IFERROR($L47*$M47,"")</f>
        <v/>
      </c>
      <c r="O47" s="20">
        <f>IFERROR($L47/$H47,"")</f>
        <v/>
      </c>
      <c r="P47" s="19">
        <f>IF($A47="","",IFERROR(INDEX(学校マスタ!$F$2:$F$71,MATCH($A47,学校マスタ!$A$2:$A$71,0)),""))</f>
        <v/>
      </c>
    </row>
    <row r="48">
      <c r="A48" s="6" t="n"/>
      <c r="B48" s="6" t="n"/>
      <c r="C48" s="6" t="n"/>
      <c r="D48" s="15" t="n"/>
      <c r="E48" s="15" t="n"/>
      <c r="F48" s="16" t="n"/>
      <c r="G48" s="17">
        <f>IFERROR($D48*$F48,"")</f>
        <v/>
      </c>
      <c r="H48" s="15" t="n"/>
      <c r="I48" s="18">
        <f>IFERROR($H48/$D48-1,"")</f>
        <v/>
      </c>
      <c r="J48" s="15" t="n"/>
      <c r="K48" s="19">
        <f>IF($A48="","",IFERROR(INDEX(学校マスタ!$G$2:$G$71,MATCH($A48,学校マスタ!$A$2:$A$71,0)),""))</f>
        <v/>
      </c>
      <c r="L48" s="17">
        <f>IF(OR($A48="",$H48="",$J48=""),"",IF($K48="なし",0,$H48-$J48))</f>
        <v/>
      </c>
      <c r="M48" s="16" t="n"/>
      <c r="N48" s="17">
        <f>IFERROR($L48*$M48,"")</f>
        <v/>
      </c>
      <c r="O48" s="20">
        <f>IFERROR($L48/$H48,"")</f>
        <v/>
      </c>
      <c r="P48" s="19">
        <f>IF($A48="","",IFERROR(INDEX(学校マスタ!$F$2:$F$71,MATCH($A48,学校マスタ!$A$2:$A$71,0)),""))</f>
        <v/>
      </c>
    </row>
    <row r="49">
      <c r="A49" s="6" t="n"/>
      <c r="B49" s="6" t="n"/>
      <c r="C49" s="6" t="n"/>
      <c r="D49" s="15" t="n"/>
      <c r="E49" s="15" t="n"/>
      <c r="F49" s="16" t="n"/>
      <c r="G49" s="17">
        <f>IFERROR($D49*$F49,"")</f>
        <v/>
      </c>
      <c r="H49" s="15" t="n"/>
      <c r="I49" s="18">
        <f>IFERROR($H49/$D49-1,"")</f>
        <v/>
      </c>
      <c r="J49" s="15" t="n"/>
      <c r="K49" s="19">
        <f>IF($A49="","",IFERROR(INDEX(学校マスタ!$G$2:$G$71,MATCH($A49,学校マスタ!$A$2:$A$71,0)),""))</f>
        <v/>
      </c>
      <c r="L49" s="17">
        <f>IF(OR($A49="",$H49="",$J49=""),"",IF($K49="なし",0,$H49-$J49))</f>
        <v/>
      </c>
      <c r="M49" s="16" t="n"/>
      <c r="N49" s="17">
        <f>IFERROR($L49*$M49,"")</f>
        <v/>
      </c>
      <c r="O49" s="20">
        <f>IFERROR($L49/$H49,"")</f>
        <v/>
      </c>
      <c r="P49" s="19">
        <f>IF($A49="","",IFERROR(INDEX(学校マスタ!$F$2:$F$71,MATCH($A49,学校マスタ!$A$2:$A$71,0)),""))</f>
        <v/>
      </c>
    </row>
    <row r="50">
      <c r="A50" s="6" t="n"/>
      <c r="B50" s="6" t="n"/>
      <c r="C50" s="6" t="n"/>
      <c r="D50" s="15" t="n"/>
      <c r="E50" s="15" t="n"/>
      <c r="F50" s="16" t="n"/>
      <c r="G50" s="17">
        <f>IFERROR($D50*$F50,"")</f>
        <v/>
      </c>
      <c r="H50" s="15" t="n"/>
      <c r="I50" s="18">
        <f>IFERROR($H50/$D50-1,"")</f>
        <v/>
      </c>
      <c r="J50" s="15" t="n"/>
      <c r="K50" s="19">
        <f>IF($A50="","",IFERROR(INDEX(学校マスタ!$G$2:$G$71,MATCH($A50,学校マスタ!$A$2:$A$71,0)),""))</f>
        <v/>
      </c>
      <c r="L50" s="17">
        <f>IF(OR($A50="",$H50="",$J50=""),"",IF($K50="なし",0,$H50-$J50))</f>
        <v/>
      </c>
      <c r="M50" s="16" t="n"/>
      <c r="N50" s="17">
        <f>IFERROR($L50*$M50,"")</f>
        <v/>
      </c>
      <c r="O50" s="20">
        <f>IFERROR($L50/$H50,"")</f>
        <v/>
      </c>
      <c r="P50" s="19">
        <f>IF($A50="","",IFERROR(INDEX(学校マスタ!$F$2:$F$71,MATCH($A50,学校マスタ!$A$2:$A$71,0)),""))</f>
        <v/>
      </c>
    </row>
    <row r="51">
      <c r="A51" s="6" t="n"/>
      <c r="B51" s="6" t="n"/>
      <c r="C51" s="6" t="n"/>
      <c r="D51" s="15" t="n"/>
      <c r="E51" s="15" t="n"/>
      <c r="F51" s="16" t="n"/>
      <c r="G51" s="17">
        <f>IFERROR($D51*$F51,"")</f>
        <v/>
      </c>
      <c r="H51" s="15" t="n"/>
      <c r="I51" s="18">
        <f>IFERROR($H51/$D51-1,"")</f>
        <v/>
      </c>
      <c r="J51" s="15" t="n"/>
      <c r="K51" s="19">
        <f>IF($A51="","",IFERROR(INDEX(学校マスタ!$G$2:$G$71,MATCH($A51,学校マスタ!$A$2:$A$71,0)),""))</f>
        <v/>
      </c>
      <c r="L51" s="17">
        <f>IF(OR($A51="",$H51="",$J51=""),"",IF($K51="なし",0,$H51-$J51))</f>
        <v/>
      </c>
      <c r="M51" s="16" t="n"/>
      <c r="N51" s="17">
        <f>IFERROR($L51*$M51,"")</f>
        <v/>
      </c>
      <c r="O51" s="20">
        <f>IFERROR($L51/$H51,"")</f>
        <v/>
      </c>
      <c r="P51" s="19">
        <f>IF($A51="","",IFERROR(INDEX(学校マスタ!$F$2:$F$71,MATCH($A51,学校マスタ!$A$2:$A$71,0)),""))</f>
        <v/>
      </c>
    </row>
    <row r="52">
      <c r="A52" s="6" t="n"/>
      <c r="B52" s="6" t="n"/>
      <c r="C52" s="6" t="n"/>
      <c r="D52" s="15" t="n"/>
      <c r="E52" s="15" t="n"/>
      <c r="F52" s="16" t="n"/>
      <c r="G52" s="17">
        <f>IFERROR($D52*$F52,"")</f>
        <v/>
      </c>
      <c r="H52" s="15" t="n"/>
      <c r="I52" s="18">
        <f>IFERROR($H52/$D52-1,"")</f>
        <v/>
      </c>
      <c r="J52" s="15" t="n"/>
      <c r="K52" s="19">
        <f>IF($A52="","",IFERROR(INDEX(学校マスタ!$G$2:$G$71,MATCH($A52,学校マスタ!$A$2:$A$71,0)),""))</f>
        <v/>
      </c>
      <c r="L52" s="17">
        <f>IF(OR($A52="",$H52="",$J52=""),"",IF($K52="なし",0,$H52-$J52))</f>
        <v/>
      </c>
      <c r="M52" s="16" t="n"/>
      <c r="N52" s="17">
        <f>IFERROR($L52*$M52,"")</f>
        <v/>
      </c>
      <c r="O52" s="20">
        <f>IFERROR($L52/$H52,"")</f>
        <v/>
      </c>
      <c r="P52" s="19">
        <f>IF($A52="","",IFERROR(INDEX(学校マスタ!$F$2:$F$71,MATCH($A52,学校マスタ!$A$2:$A$71,0)),""))</f>
        <v/>
      </c>
    </row>
    <row r="53">
      <c r="A53" s="6" t="n"/>
      <c r="B53" s="6" t="n"/>
      <c r="C53" s="6" t="n"/>
      <c r="D53" s="15" t="n"/>
      <c r="E53" s="15" t="n"/>
      <c r="F53" s="16" t="n"/>
      <c r="G53" s="17">
        <f>IFERROR($D53*$F53,"")</f>
        <v/>
      </c>
      <c r="H53" s="15" t="n"/>
      <c r="I53" s="18">
        <f>IFERROR($H53/$D53-1,"")</f>
        <v/>
      </c>
      <c r="J53" s="15" t="n"/>
      <c r="K53" s="19">
        <f>IF($A53="","",IFERROR(INDEX(学校マスタ!$G$2:$G$71,MATCH($A53,学校マスタ!$A$2:$A$71,0)),""))</f>
        <v/>
      </c>
      <c r="L53" s="17">
        <f>IF(OR($A53="",$H53="",$J53=""),"",IF($K53="なし",0,$H53-$J53))</f>
        <v/>
      </c>
      <c r="M53" s="16" t="n"/>
      <c r="N53" s="17">
        <f>IFERROR($L53*$M53,"")</f>
        <v/>
      </c>
      <c r="O53" s="20">
        <f>IFERROR($L53/$H53,"")</f>
        <v/>
      </c>
      <c r="P53" s="19">
        <f>IF($A53="","",IFERROR(INDEX(学校マスタ!$F$2:$F$71,MATCH($A53,学校マスタ!$A$2:$A$71,0)),""))</f>
        <v/>
      </c>
    </row>
    <row r="54">
      <c r="A54" s="6" t="n"/>
      <c r="B54" s="6" t="n"/>
      <c r="C54" s="6" t="n"/>
      <c r="D54" s="15" t="n"/>
      <c r="E54" s="15" t="n"/>
      <c r="F54" s="16" t="n"/>
      <c r="G54" s="17">
        <f>IFERROR($D54*$F54,"")</f>
        <v/>
      </c>
      <c r="H54" s="15" t="n"/>
      <c r="I54" s="18">
        <f>IFERROR($H54/$D54-1,"")</f>
        <v/>
      </c>
      <c r="J54" s="15" t="n"/>
      <c r="K54" s="19">
        <f>IF($A54="","",IFERROR(INDEX(学校マスタ!$G$2:$G$71,MATCH($A54,学校マスタ!$A$2:$A$71,0)),""))</f>
        <v/>
      </c>
      <c r="L54" s="17">
        <f>IF(OR($A54="",$H54="",$J54=""),"",IF($K54="なし",0,$H54-$J54))</f>
        <v/>
      </c>
      <c r="M54" s="16" t="n"/>
      <c r="N54" s="17">
        <f>IFERROR($L54*$M54,"")</f>
        <v/>
      </c>
      <c r="O54" s="20">
        <f>IFERROR($L54/$H54,"")</f>
        <v/>
      </c>
      <c r="P54" s="19">
        <f>IF($A54="","",IFERROR(INDEX(学校マスタ!$F$2:$F$71,MATCH($A54,学校マスタ!$A$2:$A$71,0)),""))</f>
        <v/>
      </c>
    </row>
    <row r="55">
      <c r="A55" s="6" t="n"/>
      <c r="B55" s="6" t="n"/>
      <c r="C55" s="6" t="n"/>
      <c r="D55" s="15" t="n"/>
      <c r="E55" s="15" t="n"/>
      <c r="F55" s="16" t="n"/>
      <c r="G55" s="17">
        <f>IFERROR($D55*$F55,"")</f>
        <v/>
      </c>
      <c r="H55" s="15" t="n"/>
      <c r="I55" s="18">
        <f>IFERROR($H55/$D55-1,"")</f>
        <v/>
      </c>
      <c r="J55" s="15" t="n"/>
      <c r="K55" s="19">
        <f>IF($A55="","",IFERROR(INDEX(学校マスタ!$G$2:$G$71,MATCH($A55,学校マスタ!$A$2:$A$71,0)),""))</f>
        <v/>
      </c>
      <c r="L55" s="17">
        <f>IF(OR($A55="",$H55="",$J55=""),"",IF($K55="なし",0,$H55-$J55))</f>
        <v/>
      </c>
      <c r="M55" s="16" t="n"/>
      <c r="N55" s="17">
        <f>IFERROR($L55*$M55,"")</f>
        <v/>
      </c>
      <c r="O55" s="20">
        <f>IFERROR($L55/$H55,"")</f>
        <v/>
      </c>
      <c r="P55" s="19">
        <f>IF($A55="","",IFERROR(INDEX(学校マスタ!$F$2:$F$71,MATCH($A55,学校マスタ!$A$2:$A$71,0)),""))</f>
        <v/>
      </c>
    </row>
    <row r="56">
      <c r="A56" s="6" t="n"/>
      <c r="B56" s="6" t="n"/>
      <c r="C56" s="6" t="n"/>
      <c r="D56" s="15" t="n"/>
      <c r="E56" s="15" t="n"/>
      <c r="F56" s="16" t="n"/>
      <c r="G56" s="17">
        <f>IFERROR($D56*$F56,"")</f>
        <v/>
      </c>
      <c r="H56" s="15" t="n"/>
      <c r="I56" s="18">
        <f>IFERROR($H56/$D56-1,"")</f>
        <v/>
      </c>
      <c r="J56" s="15" t="n"/>
      <c r="K56" s="19">
        <f>IF($A56="","",IFERROR(INDEX(学校マスタ!$G$2:$G$71,MATCH($A56,学校マスタ!$A$2:$A$71,0)),""))</f>
        <v/>
      </c>
      <c r="L56" s="17">
        <f>IF(OR($A56="",$H56="",$J56=""),"",IF($K56="なし",0,$H56-$J56))</f>
        <v/>
      </c>
      <c r="M56" s="16" t="n"/>
      <c r="N56" s="17">
        <f>IFERROR($L56*$M56,"")</f>
        <v/>
      </c>
      <c r="O56" s="20">
        <f>IFERROR($L56/$H56,"")</f>
        <v/>
      </c>
      <c r="P56" s="19">
        <f>IF($A56="","",IFERROR(INDEX(学校マスタ!$F$2:$F$71,MATCH($A56,学校マスタ!$A$2:$A$71,0)),""))</f>
        <v/>
      </c>
    </row>
    <row r="57">
      <c r="A57" s="6" t="n"/>
      <c r="B57" s="6" t="n"/>
      <c r="C57" s="6" t="n"/>
      <c r="D57" s="15" t="n"/>
      <c r="E57" s="15" t="n"/>
      <c r="F57" s="16" t="n"/>
      <c r="G57" s="17">
        <f>IFERROR($D57*$F57,"")</f>
        <v/>
      </c>
      <c r="H57" s="15" t="n"/>
      <c r="I57" s="18">
        <f>IFERROR($H57/$D57-1,"")</f>
        <v/>
      </c>
      <c r="J57" s="15" t="n"/>
      <c r="K57" s="19">
        <f>IF($A57="","",IFERROR(INDEX(学校マスタ!$G$2:$G$71,MATCH($A57,学校マスタ!$A$2:$A$71,0)),""))</f>
        <v/>
      </c>
      <c r="L57" s="17">
        <f>IF(OR($A57="",$H57="",$J57=""),"",IF($K57="なし",0,$H57-$J57))</f>
        <v/>
      </c>
      <c r="M57" s="16" t="n"/>
      <c r="N57" s="17">
        <f>IFERROR($L57*$M57,"")</f>
        <v/>
      </c>
      <c r="O57" s="20">
        <f>IFERROR($L57/$H57,"")</f>
        <v/>
      </c>
      <c r="P57" s="19">
        <f>IF($A57="","",IFERROR(INDEX(学校マスタ!$F$2:$F$71,MATCH($A57,学校マスタ!$A$2:$A$71,0)),""))</f>
        <v/>
      </c>
    </row>
    <row r="58">
      <c r="A58" s="6" t="n"/>
      <c r="B58" s="6" t="n"/>
      <c r="C58" s="6" t="n"/>
      <c r="D58" s="15" t="n"/>
      <c r="E58" s="15" t="n"/>
      <c r="F58" s="16" t="n"/>
      <c r="G58" s="17">
        <f>IFERROR($D58*$F58,"")</f>
        <v/>
      </c>
      <c r="H58" s="15" t="n"/>
      <c r="I58" s="18">
        <f>IFERROR($H58/$D58-1,"")</f>
        <v/>
      </c>
      <c r="J58" s="15" t="n"/>
      <c r="K58" s="19">
        <f>IF($A58="","",IFERROR(INDEX(学校マスタ!$G$2:$G$71,MATCH($A58,学校マスタ!$A$2:$A$71,0)),""))</f>
        <v/>
      </c>
      <c r="L58" s="17">
        <f>IF(OR($A58="",$H58="",$J58=""),"",IF($K58="なし",0,$H58-$J58))</f>
        <v/>
      </c>
      <c r="M58" s="16" t="n"/>
      <c r="N58" s="17">
        <f>IFERROR($L58*$M58,"")</f>
        <v/>
      </c>
      <c r="O58" s="20">
        <f>IFERROR($L58/$H58,"")</f>
        <v/>
      </c>
      <c r="P58" s="19">
        <f>IF($A58="","",IFERROR(INDEX(学校マスタ!$F$2:$F$71,MATCH($A58,学校マスタ!$A$2:$A$71,0)),""))</f>
        <v/>
      </c>
    </row>
    <row r="59">
      <c r="A59" s="6" t="n"/>
      <c r="B59" s="6" t="n"/>
      <c r="C59" s="6" t="n"/>
      <c r="D59" s="15" t="n"/>
      <c r="E59" s="15" t="n"/>
      <c r="F59" s="16" t="n"/>
      <c r="G59" s="17">
        <f>IFERROR($D59*$F59,"")</f>
        <v/>
      </c>
      <c r="H59" s="15" t="n"/>
      <c r="I59" s="18">
        <f>IFERROR($H59/$D59-1,"")</f>
        <v/>
      </c>
      <c r="J59" s="15" t="n"/>
      <c r="K59" s="19">
        <f>IF($A59="","",IFERROR(INDEX(学校マスタ!$G$2:$G$71,MATCH($A59,学校マスタ!$A$2:$A$71,0)),""))</f>
        <v/>
      </c>
      <c r="L59" s="17">
        <f>IF(OR($A59="",$H59="",$J59=""),"",IF($K59="なし",0,$H59-$J59))</f>
        <v/>
      </c>
      <c r="M59" s="16" t="n"/>
      <c r="N59" s="17">
        <f>IFERROR($L59*$M59,"")</f>
        <v/>
      </c>
      <c r="O59" s="20">
        <f>IFERROR($L59/$H59,"")</f>
        <v/>
      </c>
      <c r="P59" s="19">
        <f>IF($A59="","",IFERROR(INDEX(学校マスタ!$F$2:$F$71,MATCH($A59,学校マスタ!$A$2:$A$71,0)),""))</f>
        <v/>
      </c>
    </row>
    <row r="60">
      <c r="A60" s="6" t="n"/>
      <c r="B60" s="6" t="n"/>
      <c r="C60" s="6" t="n"/>
      <c r="D60" s="15" t="n"/>
      <c r="E60" s="15" t="n"/>
      <c r="F60" s="16" t="n"/>
      <c r="G60" s="17">
        <f>IFERROR($D60*$F60,"")</f>
        <v/>
      </c>
      <c r="H60" s="15" t="n"/>
      <c r="I60" s="18">
        <f>IFERROR($H60/$D60-1,"")</f>
        <v/>
      </c>
      <c r="J60" s="15" t="n"/>
      <c r="K60" s="19">
        <f>IF($A60="","",IFERROR(INDEX(学校マスタ!$G$2:$G$71,MATCH($A60,学校マスタ!$A$2:$A$71,0)),""))</f>
        <v/>
      </c>
      <c r="L60" s="17">
        <f>IF(OR($A60="",$H60="",$J60=""),"",IF($K60="なし",0,$H60-$J60))</f>
        <v/>
      </c>
      <c r="M60" s="16" t="n"/>
      <c r="N60" s="17">
        <f>IFERROR($L60*$M60,"")</f>
        <v/>
      </c>
      <c r="O60" s="20">
        <f>IFERROR($L60/$H60,"")</f>
        <v/>
      </c>
      <c r="P60" s="19">
        <f>IF($A60="","",IFERROR(INDEX(学校マスタ!$F$2:$F$71,MATCH($A60,学校マスタ!$A$2:$A$71,0)),""))</f>
        <v/>
      </c>
    </row>
    <row r="61">
      <c r="A61" s="6" t="n"/>
      <c r="B61" s="6" t="n"/>
      <c r="C61" s="6" t="n"/>
      <c r="D61" s="15" t="n"/>
      <c r="E61" s="15" t="n"/>
      <c r="F61" s="16" t="n"/>
      <c r="G61" s="17">
        <f>IFERROR($D61*$F61,"")</f>
        <v/>
      </c>
      <c r="H61" s="15" t="n"/>
      <c r="I61" s="18">
        <f>IFERROR($H61/$D61-1,"")</f>
        <v/>
      </c>
      <c r="J61" s="15" t="n"/>
      <c r="K61" s="19">
        <f>IF($A61="","",IFERROR(INDEX(学校マスタ!$G$2:$G$71,MATCH($A61,学校マスタ!$A$2:$A$71,0)),""))</f>
        <v/>
      </c>
      <c r="L61" s="17">
        <f>IF(OR($A61="",$H61="",$J61=""),"",IF($K61="なし",0,$H61-$J61))</f>
        <v/>
      </c>
      <c r="M61" s="16" t="n"/>
      <c r="N61" s="17">
        <f>IFERROR($L61*$M61,"")</f>
        <v/>
      </c>
      <c r="O61" s="20">
        <f>IFERROR($L61/$H61,"")</f>
        <v/>
      </c>
      <c r="P61" s="19">
        <f>IF($A61="","",IFERROR(INDEX(学校マスタ!$F$2:$F$71,MATCH($A61,学校マスタ!$A$2:$A$71,0)),""))</f>
        <v/>
      </c>
    </row>
    <row r="62">
      <c r="A62" s="6" t="n"/>
      <c r="B62" s="6" t="n"/>
      <c r="C62" s="6" t="n"/>
      <c r="D62" s="15" t="n"/>
      <c r="E62" s="15" t="n"/>
      <c r="F62" s="16" t="n"/>
      <c r="G62" s="17">
        <f>IFERROR($D62*$F62,"")</f>
        <v/>
      </c>
      <c r="H62" s="15" t="n"/>
      <c r="I62" s="18">
        <f>IFERROR($H62/$D62-1,"")</f>
        <v/>
      </c>
      <c r="J62" s="15" t="n"/>
      <c r="K62" s="19">
        <f>IF($A62="","",IFERROR(INDEX(学校マスタ!$G$2:$G$71,MATCH($A62,学校マスタ!$A$2:$A$71,0)),""))</f>
        <v/>
      </c>
      <c r="L62" s="17">
        <f>IF(OR($A62="",$H62="",$J62=""),"",IF($K62="なし",0,$H62-$J62))</f>
        <v/>
      </c>
      <c r="M62" s="16" t="n"/>
      <c r="N62" s="17">
        <f>IFERROR($L62*$M62,"")</f>
        <v/>
      </c>
      <c r="O62" s="20">
        <f>IFERROR($L62/$H62,"")</f>
        <v/>
      </c>
      <c r="P62" s="19">
        <f>IF($A62="","",IFERROR(INDEX(学校マスタ!$F$2:$F$71,MATCH($A62,学校マスタ!$A$2:$A$71,0)),""))</f>
        <v/>
      </c>
    </row>
    <row r="63">
      <c r="A63" s="6" t="n"/>
      <c r="B63" s="6" t="n"/>
      <c r="C63" s="6" t="n"/>
      <c r="D63" s="15" t="n"/>
      <c r="E63" s="15" t="n"/>
      <c r="F63" s="16" t="n"/>
      <c r="G63" s="17">
        <f>IFERROR($D63*$F63,"")</f>
        <v/>
      </c>
      <c r="H63" s="15" t="n"/>
      <c r="I63" s="18">
        <f>IFERROR($H63/$D63-1,"")</f>
        <v/>
      </c>
      <c r="J63" s="15" t="n"/>
      <c r="K63" s="19">
        <f>IF($A63="","",IFERROR(INDEX(学校マスタ!$G$2:$G$71,MATCH($A63,学校マスタ!$A$2:$A$71,0)),""))</f>
        <v/>
      </c>
      <c r="L63" s="17">
        <f>IF(OR($A63="",$H63="",$J63=""),"",IF($K63="なし",0,$H63-$J63))</f>
        <v/>
      </c>
      <c r="M63" s="16" t="n"/>
      <c r="N63" s="17">
        <f>IFERROR($L63*$M63,"")</f>
        <v/>
      </c>
      <c r="O63" s="20">
        <f>IFERROR($L63/$H63,"")</f>
        <v/>
      </c>
      <c r="P63" s="19">
        <f>IF($A63="","",IFERROR(INDEX(学校マスタ!$F$2:$F$71,MATCH($A63,学校マスタ!$A$2:$A$71,0)),""))</f>
        <v/>
      </c>
    </row>
    <row r="64">
      <c r="A64" s="6" t="n"/>
      <c r="B64" s="6" t="n"/>
      <c r="C64" s="6" t="n"/>
      <c r="D64" s="15" t="n"/>
      <c r="E64" s="15" t="n"/>
      <c r="F64" s="16" t="n"/>
      <c r="G64" s="17">
        <f>IFERROR($D64*$F64,"")</f>
        <v/>
      </c>
      <c r="H64" s="15" t="n"/>
      <c r="I64" s="18">
        <f>IFERROR($H64/$D64-1,"")</f>
        <v/>
      </c>
      <c r="J64" s="15" t="n"/>
      <c r="K64" s="19">
        <f>IF($A64="","",IFERROR(INDEX(学校マスタ!$G$2:$G$71,MATCH($A64,学校マスタ!$A$2:$A$71,0)),""))</f>
        <v/>
      </c>
      <c r="L64" s="17">
        <f>IF(OR($A64="",$H64="",$J64=""),"",IF($K64="なし",0,$H64-$J64))</f>
        <v/>
      </c>
      <c r="M64" s="16" t="n"/>
      <c r="N64" s="17">
        <f>IFERROR($L64*$M64,"")</f>
        <v/>
      </c>
      <c r="O64" s="20">
        <f>IFERROR($L64/$H64,"")</f>
        <v/>
      </c>
      <c r="P64" s="19">
        <f>IF($A64="","",IFERROR(INDEX(学校マスタ!$F$2:$F$71,MATCH($A64,学校マスタ!$A$2:$A$71,0)),""))</f>
        <v/>
      </c>
    </row>
    <row r="65">
      <c r="A65" s="6" t="n"/>
      <c r="B65" s="6" t="n"/>
      <c r="C65" s="6" t="n"/>
      <c r="D65" s="15" t="n"/>
      <c r="E65" s="15" t="n"/>
      <c r="F65" s="16" t="n"/>
      <c r="G65" s="17">
        <f>IFERROR($D65*$F65,"")</f>
        <v/>
      </c>
      <c r="H65" s="15" t="n"/>
      <c r="I65" s="18">
        <f>IFERROR($H65/$D65-1,"")</f>
        <v/>
      </c>
      <c r="J65" s="15" t="n"/>
      <c r="K65" s="19">
        <f>IF($A65="","",IFERROR(INDEX(学校マスタ!$G$2:$G$71,MATCH($A65,学校マスタ!$A$2:$A$71,0)),""))</f>
        <v/>
      </c>
      <c r="L65" s="17">
        <f>IF(OR($A65="",$H65="",$J65=""),"",IF($K65="なし",0,$H65-$J65))</f>
        <v/>
      </c>
      <c r="M65" s="16" t="n"/>
      <c r="N65" s="17">
        <f>IFERROR($L65*$M65,"")</f>
        <v/>
      </c>
      <c r="O65" s="20">
        <f>IFERROR($L65/$H65,"")</f>
        <v/>
      </c>
      <c r="P65" s="19">
        <f>IF($A65="","",IFERROR(INDEX(学校マスタ!$F$2:$F$71,MATCH($A65,学校マスタ!$A$2:$A$71,0)),""))</f>
        <v/>
      </c>
    </row>
    <row r="66">
      <c r="A66" s="6" t="n"/>
      <c r="B66" s="6" t="n"/>
      <c r="C66" s="6" t="n"/>
      <c r="D66" s="15" t="n"/>
      <c r="E66" s="15" t="n"/>
      <c r="F66" s="16" t="n"/>
      <c r="G66" s="17">
        <f>IFERROR($D66*$F66,"")</f>
        <v/>
      </c>
      <c r="H66" s="15" t="n"/>
      <c r="I66" s="18">
        <f>IFERROR($H66/$D66-1,"")</f>
        <v/>
      </c>
      <c r="J66" s="15" t="n"/>
      <c r="K66" s="19">
        <f>IF($A66="","",IFERROR(INDEX(学校マスタ!$G$2:$G$71,MATCH($A66,学校マスタ!$A$2:$A$71,0)),""))</f>
        <v/>
      </c>
      <c r="L66" s="17">
        <f>IF(OR($A66="",$H66="",$J66=""),"",IF($K66="なし",0,$H66-$J66))</f>
        <v/>
      </c>
      <c r="M66" s="16" t="n"/>
      <c r="N66" s="17">
        <f>IFERROR($L66*$M66,"")</f>
        <v/>
      </c>
      <c r="O66" s="20">
        <f>IFERROR($L66/$H66,"")</f>
        <v/>
      </c>
      <c r="P66" s="19">
        <f>IF($A66="","",IFERROR(INDEX(学校マスタ!$F$2:$F$71,MATCH($A66,学校マスタ!$A$2:$A$71,0)),""))</f>
        <v/>
      </c>
    </row>
    <row r="67">
      <c r="A67" s="6" t="n"/>
      <c r="B67" s="6" t="n"/>
      <c r="C67" s="6" t="n"/>
      <c r="D67" s="15" t="n"/>
      <c r="E67" s="15" t="n"/>
      <c r="F67" s="16" t="n"/>
      <c r="G67" s="17">
        <f>IFERROR($D67*$F67,"")</f>
        <v/>
      </c>
      <c r="H67" s="15" t="n"/>
      <c r="I67" s="18">
        <f>IFERROR($H67/$D67-1,"")</f>
        <v/>
      </c>
      <c r="J67" s="15" t="n"/>
      <c r="K67" s="19">
        <f>IF($A67="","",IFERROR(INDEX(学校マスタ!$G$2:$G$71,MATCH($A67,学校マスタ!$A$2:$A$71,0)),""))</f>
        <v/>
      </c>
      <c r="L67" s="17">
        <f>IF(OR($A67="",$H67="",$J67=""),"",IF($K67="なし",0,$H67-$J67))</f>
        <v/>
      </c>
      <c r="M67" s="16" t="n"/>
      <c r="N67" s="17">
        <f>IFERROR($L67*$M67,"")</f>
        <v/>
      </c>
      <c r="O67" s="20">
        <f>IFERROR($L67/$H67,"")</f>
        <v/>
      </c>
      <c r="P67" s="19">
        <f>IF($A67="","",IFERROR(INDEX(学校マスタ!$F$2:$F$71,MATCH($A67,学校マスタ!$A$2:$A$71,0)),""))</f>
        <v/>
      </c>
    </row>
    <row r="68">
      <c r="A68" s="6" t="n"/>
      <c r="B68" s="6" t="n"/>
      <c r="C68" s="6" t="n"/>
      <c r="D68" s="15" t="n"/>
      <c r="E68" s="15" t="n"/>
      <c r="F68" s="16" t="n"/>
      <c r="G68" s="17">
        <f>IFERROR($D68*$F68,"")</f>
        <v/>
      </c>
      <c r="H68" s="15" t="n"/>
      <c r="I68" s="18">
        <f>IFERROR($H68/$D68-1,"")</f>
        <v/>
      </c>
      <c r="J68" s="15" t="n"/>
      <c r="K68" s="19">
        <f>IF($A68="","",IFERROR(INDEX(学校マスタ!$G$2:$G$71,MATCH($A68,学校マスタ!$A$2:$A$71,0)),""))</f>
        <v/>
      </c>
      <c r="L68" s="17">
        <f>IF(OR($A68="",$H68="",$J68=""),"",IF($K68="なし",0,$H68-$J68))</f>
        <v/>
      </c>
      <c r="M68" s="16" t="n"/>
      <c r="N68" s="17">
        <f>IFERROR($L68*$M68,"")</f>
        <v/>
      </c>
      <c r="O68" s="20">
        <f>IFERROR($L68/$H68,"")</f>
        <v/>
      </c>
      <c r="P68" s="19">
        <f>IF($A68="","",IFERROR(INDEX(学校マスタ!$F$2:$F$71,MATCH($A68,学校マスタ!$A$2:$A$71,0)),""))</f>
        <v/>
      </c>
    </row>
    <row r="69">
      <c r="A69" s="6" t="n"/>
      <c r="B69" s="6" t="n"/>
      <c r="C69" s="6" t="n"/>
      <c r="D69" s="15" t="n"/>
      <c r="E69" s="15" t="n"/>
      <c r="F69" s="16" t="n"/>
      <c r="G69" s="17">
        <f>IFERROR($D69*$F69,"")</f>
        <v/>
      </c>
      <c r="H69" s="15" t="n"/>
      <c r="I69" s="18">
        <f>IFERROR($H69/$D69-1,"")</f>
        <v/>
      </c>
      <c r="J69" s="15" t="n"/>
      <c r="K69" s="19">
        <f>IF($A69="","",IFERROR(INDEX(学校マスタ!$G$2:$G$71,MATCH($A69,学校マスタ!$A$2:$A$71,0)),""))</f>
        <v/>
      </c>
      <c r="L69" s="17">
        <f>IF(OR($A69="",$H69="",$J69=""),"",IF($K69="なし",0,$H69-$J69))</f>
        <v/>
      </c>
      <c r="M69" s="16" t="n"/>
      <c r="N69" s="17">
        <f>IFERROR($L69*$M69,"")</f>
        <v/>
      </c>
      <c r="O69" s="20">
        <f>IFERROR($L69/$H69,"")</f>
        <v/>
      </c>
      <c r="P69" s="19">
        <f>IF($A69="","",IFERROR(INDEX(学校マスタ!$F$2:$F$71,MATCH($A69,学校マスタ!$A$2:$A$71,0)),""))</f>
        <v/>
      </c>
    </row>
    <row r="70">
      <c r="A70" s="6" t="n"/>
      <c r="B70" s="6" t="n"/>
      <c r="C70" s="6" t="n"/>
      <c r="D70" s="15" t="n"/>
      <c r="E70" s="15" t="n"/>
      <c r="F70" s="16" t="n"/>
      <c r="G70" s="17">
        <f>IFERROR($D70*$F70,"")</f>
        <v/>
      </c>
      <c r="H70" s="15" t="n"/>
      <c r="I70" s="18">
        <f>IFERROR($H70/$D70-1,"")</f>
        <v/>
      </c>
      <c r="J70" s="15" t="n"/>
      <c r="K70" s="19">
        <f>IF($A70="","",IFERROR(INDEX(学校マスタ!$G$2:$G$71,MATCH($A70,学校マスタ!$A$2:$A$71,0)),""))</f>
        <v/>
      </c>
      <c r="L70" s="17">
        <f>IF(OR($A70="",$H70="",$J70=""),"",IF($K70="なし",0,$H70-$J70))</f>
        <v/>
      </c>
      <c r="M70" s="16" t="n"/>
      <c r="N70" s="17">
        <f>IFERROR($L70*$M70,"")</f>
        <v/>
      </c>
      <c r="O70" s="20">
        <f>IFERROR($L70/$H70,"")</f>
        <v/>
      </c>
      <c r="P70" s="19">
        <f>IF($A70="","",IFERROR(INDEX(学校マスタ!$F$2:$F$71,MATCH($A70,学校マスタ!$A$2:$A$71,0)),""))</f>
        <v/>
      </c>
    </row>
    <row r="71">
      <c r="A71" s="6" t="n"/>
      <c r="B71" s="6" t="n"/>
      <c r="C71" s="6" t="n"/>
      <c r="D71" s="15" t="n"/>
      <c r="E71" s="15" t="n"/>
      <c r="F71" s="16" t="n"/>
      <c r="G71" s="17">
        <f>IFERROR($D71*$F71,"")</f>
        <v/>
      </c>
      <c r="H71" s="15" t="n"/>
      <c r="I71" s="18">
        <f>IFERROR($H71/$D71-1,"")</f>
        <v/>
      </c>
      <c r="J71" s="15" t="n"/>
      <c r="K71" s="19">
        <f>IF($A71="","",IFERROR(INDEX(学校マスタ!$G$2:$G$71,MATCH($A71,学校マスタ!$A$2:$A$71,0)),""))</f>
        <v/>
      </c>
      <c r="L71" s="17">
        <f>IF(OR($A71="",$H71="",$J71=""),"",IF($K71="なし",0,$H71-$J71))</f>
        <v/>
      </c>
      <c r="M71" s="16" t="n"/>
      <c r="N71" s="17">
        <f>IFERROR($L71*$M71,"")</f>
        <v/>
      </c>
      <c r="O71" s="20">
        <f>IFERROR($L71/$H71,"")</f>
        <v/>
      </c>
      <c r="P71" s="19">
        <f>IF($A71="","",IFERROR(INDEX(学校マスタ!$F$2:$F$71,MATCH($A71,学校マスタ!$A$2:$A$71,0)),""))</f>
        <v/>
      </c>
    </row>
    <row r="72">
      <c r="A72" s="6" t="n"/>
      <c r="B72" s="6" t="n"/>
      <c r="C72" s="6" t="n"/>
      <c r="D72" s="15" t="n"/>
      <c r="E72" s="15" t="n"/>
      <c r="F72" s="16" t="n"/>
      <c r="G72" s="17">
        <f>IFERROR($D72*$F72,"")</f>
        <v/>
      </c>
      <c r="H72" s="15" t="n"/>
      <c r="I72" s="18">
        <f>IFERROR($H72/$D72-1,"")</f>
        <v/>
      </c>
      <c r="J72" s="15" t="n"/>
      <c r="K72" s="19">
        <f>IF($A72="","",IFERROR(INDEX(学校マスタ!$G$2:$G$71,MATCH($A72,学校マスタ!$A$2:$A$71,0)),""))</f>
        <v/>
      </c>
      <c r="L72" s="17">
        <f>IF(OR($A72="",$H72="",$J72=""),"",IF($K72="なし",0,$H72-$J72))</f>
        <v/>
      </c>
      <c r="M72" s="16" t="n"/>
      <c r="N72" s="17">
        <f>IFERROR($L72*$M72,"")</f>
        <v/>
      </c>
      <c r="O72" s="20">
        <f>IFERROR($L72/$H72,"")</f>
        <v/>
      </c>
      <c r="P72" s="19">
        <f>IF($A72="","",IFERROR(INDEX(学校マスタ!$F$2:$F$71,MATCH($A72,学校マスタ!$A$2:$A$71,0)),""))</f>
        <v/>
      </c>
    </row>
    <row r="73">
      <c r="A73" s="6" t="n"/>
      <c r="B73" s="6" t="n"/>
      <c r="C73" s="6" t="n"/>
      <c r="D73" s="15" t="n"/>
      <c r="E73" s="15" t="n"/>
      <c r="F73" s="16" t="n"/>
      <c r="G73" s="17">
        <f>IFERROR($D73*$F73,"")</f>
        <v/>
      </c>
      <c r="H73" s="15" t="n"/>
      <c r="I73" s="18">
        <f>IFERROR($H73/$D73-1,"")</f>
        <v/>
      </c>
      <c r="J73" s="15" t="n"/>
      <c r="K73" s="19">
        <f>IF($A73="","",IFERROR(INDEX(学校マスタ!$G$2:$G$71,MATCH($A73,学校マスタ!$A$2:$A$71,0)),""))</f>
        <v/>
      </c>
      <c r="L73" s="17">
        <f>IF(OR($A73="",$H73="",$J73=""),"",IF($K73="なし",0,$H73-$J73))</f>
        <v/>
      </c>
      <c r="M73" s="16" t="n"/>
      <c r="N73" s="17">
        <f>IFERROR($L73*$M73,"")</f>
        <v/>
      </c>
      <c r="O73" s="20">
        <f>IFERROR($L73/$H73,"")</f>
        <v/>
      </c>
      <c r="P73" s="19">
        <f>IF($A73="","",IFERROR(INDEX(学校マスタ!$F$2:$F$71,MATCH($A73,学校マスタ!$A$2:$A$71,0)),""))</f>
        <v/>
      </c>
    </row>
    <row r="74">
      <c r="A74" s="6" t="n"/>
      <c r="B74" s="6" t="n"/>
      <c r="C74" s="6" t="n"/>
      <c r="D74" s="15" t="n"/>
      <c r="E74" s="15" t="n"/>
      <c r="F74" s="16" t="n"/>
      <c r="G74" s="17">
        <f>IFERROR($D74*$F74,"")</f>
        <v/>
      </c>
      <c r="H74" s="15" t="n"/>
      <c r="I74" s="18">
        <f>IFERROR($H74/$D74-1,"")</f>
        <v/>
      </c>
      <c r="J74" s="15" t="n"/>
      <c r="K74" s="19">
        <f>IF($A74="","",IFERROR(INDEX(学校マスタ!$G$2:$G$71,MATCH($A74,学校マスタ!$A$2:$A$71,0)),""))</f>
        <v/>
      </c>
      <c r="L74" s="17">
        <f>IF(OR($A74="",$H74="",$J74=""),"",IF($K74="なし",0,$H74-$J74))</f>
        <v/>
      </c>
      <c r="M74" s="16" t="n"/>
      <c r="N74" s="17">
        <f>IFERROR($L74*$M74,"")</f>
        <v/>
      </c>
      <c r="O74" s="20">
        <f>IFERROR($L74/$H74,"")</f>
        <v/>
      </c>
      <c r="P74" s="19">
        <f>IF($A74="","",IFERROR(INDEX(学校マスタ!$F$2:$F$71,MATCH($A74,学校マスタ!$A$2:$A$71,0)),""))</f>
        <v/>
      </c>
    </row>
    <row r="75">
      <c r="A75" s="6" t="n"/>
      <c r="B75" s="6" t="n"/>
      <c r="C75" s="6" t="n"/>
      <c r="D75" s="15" t="n"/>
      <c r="E75" s="15" t="n"/>
      <c r="F75" s="16" t="n"/>
      <c r="G75" s="17">
        <f>IFERROR($D75*$F75,"")</f>
        <v/>
      </c>
      <c r="H75" s="15" t="n"/>
      <c r="I75" s="18">
        <f>IFERROR($H75/$D75-1,"")</f>
        <v/>
      </c>
      <c r="J75" s="15" t="n"/>
      <c r="K75" s="19">
        <f>IF($A75="","",IFERROR(INDEX(学校マスタ!$G$2:$G$71,MATCH($A75,学校マスタ!$A$2:$A$71,0)),""))</f>
        <v/>
      </c>
      <c r="L75" s="17">
        <f>IF(OR($A75="",$H75="",$J75=""),"",IF($K75="なし",0,$H75-$J75))</f>
        <v/>
      </c>
      <c r="M75" s="16" t="n"/>
      <c r="N75" s="17">
        <f>IFERROR($L75*$M75,"")</f>
        <v/>
      </c>
      <c r="O75" s="20">
        <f>IFERROR($L75/$H75,"")</f>
        <v/>
      </c>
      <c r="P75" s="19">
        <f>IF($A75="","",IFERROR(INDEX(学校マスタ!$F$2:$F$71,MATCH($A75,学校マスタ!$A$2:$A$71,0)),""))</f>
        <v/>
      </c>
    </row>
    <row r="76">
      <c r="A76" s="6" t="n"/>
      <c r="B76" s="6" t="n"/>
      <c r="C76" s="6" t="n"/>
      <c r="D76" s="15" t="n"/>
      <c r="E76" s="15" t="n"/>
      <c r="F76" s="16" t="n"/>
      <c r="G76" s="17">
        <f>IFERROR($D76*$F76,"")</f>
        <v/>
      </c>
      <c r="H76" s="15" t="n"/>
      <c r="I76" s="18">
        <f>IFERROR($H76/$D76-1,"")</f>
        <v/>
      </c>
      <c r="J76" s="15" t="n"/>
      <c r="K76" s="19">
        <f>IF($A76="","",IFERROR(INDEX(学校マスタ!$G$2:$G$71,MATCH($A76,学校マスタ!$A$2:$A$71,0)),""))</f>
        <v/>
      </c>
      <c r="L76" s="17">
        <f>IF(OR($A76="",$H76="",$J76=""),"",IF($K76="なし",0,$H76-$J76))</f>
        <v/>
      </c>
      <c r="M76" s="16" t="n"/>
      <c r="N76" s="17">
        <f>IFERROR($L76*$M76,"")</f>
        <v/>
      </c>
      <c r="O76" s="20">
        <f>IFERROR($L76/$H76,"")</f>
        <v/>
      </c>
      <c r="P76" s="19">
        <f>IF($A76="","",IFERROR(INDEX(学校マスタ!$F$2:$F$71,MATCH($A76,学校マスタ!$A$2:$A$71,0)),""))</f>
        <v/>
      </c>
    </row>
    <row r="77">
      <c r="A77" s="6" t="n"/>
      <c r="B77" s="6" t="n"/>
      <c r="C77" s="6" t="n"/>
      <c r="D77" s="15" t="n"/>
      <c r="E77" s="15" t="n"/>
      <c r="F77" s="16" t="n"/>
      <c r="G77" s="17">
        <f>IFERROR($D77*$F77,"")</f>
        <v/>
      </c>
      <c r="H77" s="15" t="n"/>
      <c r="I77" s="18">
        <f>IFERROR($H77/$D77-1,"")</f>
        <v/>
      </c>
      <c r="J77" s="15" t="n"/>
      <c r="K77" s="19">
        <f>IF($A77="","",IFERROR(INDEX(学校マスタ!$G$2:$G$71,MATCH($A77,学校マスタ!$A$2:$A$71,0)),""))</f>
        <v/>
      </c>
      <c r="L77" s="17">
        <f>IF(OR($A77="",$H77="",$J77=""),"",IF($K77="なし",0,$H77-$J77))</f>
        <v/>
      </c>
      <c r="M77" s="16" t="n"/>
      <c r="N77" s="17">
        <f>IFERROR($L77*$M77,"")</f>
        <v/>
      </c>
      <c r="O77" s="20">
        <f>IFERROR($L77/$H77,"")</f>
        <v/>
      </c>
      <c r="P77" s="19">
        <f>IF($A77="","",IFERROR(INDEX(学校マスタ!$F$2:$F$71,MATCH($A77,学校マスタ!$A$2:$A$71,0)),""))</f>
        <v/>
      </c>
    </row>
    <row r="78">
      <c r="A78" s="6" t="n"/>
      <c r="B78" s="6" t="n"/>
      <c r="C78" s="6" t="n"/>
      <c r="D78" s="15" t="n"/>
      <c r="E78" s="15" t="n"/>
      <c r="F78" s="16" t="n"/>
      <c r="G78" s="17">
        <f>IFERROR($D78*$F78,"")</f>
        <v/>
      </c>
      <c r="H78" s="15" t="n"/>
      <c r="I78" s="18">
        <f>IFERROR($H78/$D78-1,"")</f>
        <v/>
      </c>
      <c r="J78" s="15" t="n"/>
      <c r="K78" s="19">
        <f>IF($A78="","",IFERROR(INDEX(学校マスタ!$G$2:$G$71,MATCH($A78,学校マスタ!$A$2:$A$71,0)),""))</f>
        <v/>
      </c>
      <c r="L78" s="17">
        <f>IF(OR($A78="",$H78="",$J78=""),"",IF($K78="なし",0,$H78-$J78))</f>
        <v/>
      </c>
      <c r="M78" s="16" t="n"/>
      <c r="N78" s="17">
        <f>IFERROR($L78*$M78,"")</f>
        <v/>
      </c>
      <c r="O78" s="20">
        <f>IFERROR($L78/$H78,"")</f>
        <v/>
      </c>
      <c r="P78" s="19">
        <f>IF($A78="","",IFERROR(INDEX(学校マスタ!$F$2:$F$71,MATCH($A78,学校マスタ!$A$2:$A$71,0)),""))</f>
        <v/>
      </c>
    </row>
    <row r="79">
      <c r="A79" s="6" t="n"/>
      <c r="B79" s="6" t="n"/>
      <c r="C79" s="6" t="n"/>
      <c r="D79" s="15" t="n"/>
      <c r="E79" s="15" t="n"/>
      <c r="F79" s="16" t="n"/>
      <c r="G79" s="17">
        <f>IFERROR($D79*$F79,"")</f>
        <v/>
      </c>
      <c r="H79" s="15" t="n"/>
      <c r="I79" s="18">
        <f>IFERROR($H79/$D79-1,"")</f>
        <v/>
      </c>
      <c r="J79" s="15" t="n"/>
      <c r="K79" s="19">
        <f>IF($A79="","",IFERROR(INDEX(学校マスタ!$G$2:$G$71,MATCH($A79,学校マスタ!$A$2:$A$71,0)),""))</f>
        <v/>
      </c>
      <c r="L79" s="17">
        <f>IF(OR($A79="",$H79="",$J79=""),"",IF($K79="なし",0,$H79-$J79))</f>
        <v/>
      </c>
      <c r="M79" s="16" t="n"/>
      <c r="N79" s="17">
        <f>IFERROR($L79*$M79,"")</f>
        <v/>
      </c>
      <c r="O79" s="20">
        <f>IFERROR($L79/$H79,"")</f>
        <v/>
      </c>
      <c r="P79" s="19">
        <f>IF($A79="","",IFERROR(INDEX(学校マスタ!$F$2:$F$71,MATCH($A79,学校マスタ!$A$2:$A$71,0)),""))</f>
        <v/>
      </c>
    </row>
    <row r="80">
      <c r="A80" s="6" t="n"/>
      <c r="B80" s="6" t="n"/>
      <c r="C80" s="6" t="n"/>
      <c r="D80" s="15" t="n"/>
      <c r="E80" s="15" t="n"/>
      <c r="F80" s="16" t="n"/>
      <c r="G80" s="17">
        <f>IFERROR($D80*$F80,"")</f>
        <v/>
      </c>
      <c r="H80" s="15" t="n"/>
      <c r="I80" s="18">
        <f>IFERROR($H80/$D80-1,"")</f>
        <v/>
      </c>
      <c r="J80" s="15" t="n"/>
      <c r="K80" s="19">
        <f>IF($A80="","",IFERROR(INDEX(学校マスタ!$G$2:$G$71,MATCH($A80,学校マスタ!$A$2:$A$71,0)),""))</f>
        <v/>
      </c>
      <c r="L80" s="17">
        <f>IF(OR($A80="",$H80="",$J80=""),"",IF($K80="なし",0,$H80-$J80))</f>
        <v/>
      </c>
      <c r="M80" s="16" t="n"/>
      <c r="N80" s="17">
        <f>IFERROR($L80*$M80,"")</f>
        <v/>
      </c>
      <c r="O80" s="20">
        <f>IFERROR($L80/$H80,"")</f>
        <v/>
      </c>
      <c r="P80" s="19">
        <f>IF($A80="","",IFERROR(INDEX(学校マスタ!$F$2:$F$71,MATCH($A80,学校マスタ!$A$2:$A$71,0)),""))</f>
        <v/>
      </c>
    </row>
    <row r="81">
      <c r="A81" s="6" t="n"/>
      <c r="B81" s="6" t="n"/>
      <c r="C81" s="6" t="n"/>
      <c r="D81" s="15" t="n"/>
      <c r="E81" s="15" t="n"/>
      <c r="F81" s="16" t="n"/>
      <c r="G81" s="17">
        <f>IFERROR($D81*$F81,"")</f>
        <v/>
      </c>
      <c r="H81" s="15" t="n"/>
      <c r="I81" s="18">
        <f>IFERROR($H81/$D81-1,"")</f>
        <v/>
      </c>
      <c r="J81" s="15" t="n"/>
      <c r="K81" s="19">
        <f>IF($A81="","",IFERROR(INDEX(学校マスタ!$G$2:$G$71,MATCH($A81,学校マスタ!$A$2:$A$71,0)),""))</f>
        <v/>
      </c>
      <c r="L81" s="17">
        <f>IF(OR($A81="",$H81="",$J81=""),"",IF($K81="なし",0,$H81-$J81))</f>
        <v/>
      </c>
      <c r="M81" s="16" t="n"/>
      <c r="N81" s="17">
        <f>IFERROR($L81*$M81,"")</f>
        <v/>
      </c>
      <c r="O81" s="20">
        <f>IFERROR($L81/$H81,"")</f>
        <v/>
      </c>
      <c r="P81" s="19">
        <f>IF($A81="","",IFERROR(INDEX(学校マスタ!$F$2:$F$71,MATCH($A81,学校マスタ!$A$2:$A$71,0)),""))</f>
        <v/>
      </c>
    </row>
    <row r="82">
      <c r="A82" s="6" t="n"/>
      <c r="B82" s="6" t="n"/>
      <c r="C82" s="6" t="n"/>
      <c r="D82" s="15" t="n"/>
      <c r="E82" s="15" t="n"/>
      <c r="F82" s="16" t="n"/>
      <c r="G82" s="17">
        <f>IFERROR($D82*$F82,"")</f>
        <v/>
      </c>
      <c r="H82" s="15" t="n"/>
      <c r="I82" s="18">
        <f>IFERROR($H82/$D82-1,"")</f>
        <v/>
      </c>
      <c r="J82" s="15" t="n"/>
      <c r="K82" s="19">
        <f>IF($A82="","",IFERROR(INDEX(学校マスタ!$G$2:$G$71,MATCH($A82,学校マスタ!$A$2:$A$71,0)),""))</f>
        <v/>
      </c>
      <c r="L82" s="17">
        <f>IF(OR($A82="",$H82="",$J82=""),"",IF($K82="なし",0,$H82-$J82))</f>
        <v/>
      </c>
      <c r="M82" s="16" t="n"/>
      <c r="N82" s="17">
        <f>IFERROR($L82*$M82,"")</f>
        <v/>
      </c>
      <c r="O82" s="20">
        <f>IFERROR($L82/$H82,"")</f>
        <v/>
      </c>
      <c r="P82" s="19">
        <f>IF($A82="","",IFERROR(INDEX(学校マスタ!$F$2:$F$71,MATCH($A82,学校マスタ!$A$2:$A$71,0)),""))</f>
        <v/>
      </c>
    </row>
    <row r="83">
      <c r="A83" s="6" t="n"/>
      <c r="B83" s="6" t="n"/>
      <c r="C83" s="6" t="n"/>
      <c r="D83" s="15" t="n"/>
      <c r="E83" s="15" t="n"/>
      <c r="F83" s="16" t="n"/>
      <c r="G83" s="17">
        <f>IFERROR($D83*$F83,"")</f>
        <v/>
      </c>
      <c r="H83" s="15" t="n"/>
      <c r="I83" s="18">
        <f>IFERROR($H83/$D83-1,"")</f>
        <v/>
      </c>
      <c r="J83" s="15" t="n"/>
      <c r="K83" s="19">
        <f>IF($A83="","",IFERROR(INDEX(学校マスタ!$G$2:$G$71,MATCH($A83,学校マスタ!$A$2:$A$71,0)),""))</f>
        <v/>
      </c>
      <c r="L83" s="17">
        <f>IF(OR($A83="",$H83="",$J83=""),"",IF($K83="なし",0,$H83-$J83))</f>
        <v/>
      </c>
      <c r="M83" s="16" t="n"/>
      <c r="N83" s="17">
        <f>IFERROR($L83*$M83,"")</f>
        <v/>
      </c>
      <c r="O83" s="20">
        <f>IFERROR($L83/$H83,"")</f>
        <v/>
      </c>
      <c r="P83" s="19">
        <f>IF($A83="","",IFERROR(INDEX(学校マスタ!$F$2:$F$71,MATCH($A83,学校マスタ!$A$2:$A$71,0)),""))</f>
        <v/>
      </c>
    </row>
    <row r="84">
      <c r="A84" s="6" t="n"/>
      <c r="B84" s="6" t="n"/>
      <c r="C84" s="6" t="n"/>
      <c r="D84" s="15" t="n"/>
      <c r="E84" s="15" t="n"/>
      <c r="F84" s="16" t="n"/>
      <c r="G84" s="17">
        <f>IFERROR($D84*$F84,"")</f>
        <v/>
      </c>
      <c r="H84" s="15" t="n"/>
      <c r="I84" s="18">
        <f>IFERROR($H84/$D84-1,"")</f>
        <v/>
      </c>
      <c r="J84" s="15" t="n"/>
      <c r="K84" s="19">
        <f>IF($A84="","",IFERROR(INDEX(学校マスタ!$G$2:$G$71,MATCH($A84,学校マスタ!$A$2:$A$71,0)),""))</f>
        <v/>
      </c>
      <c r="L84" s="17">
        <f>IF(OR($A84="",$H84="",$J84=""),"",IF($K84="なし",0,$H84-$J84))</f>
        <v/>
      </c>
      <c r="M84" s="16" t="n"/>
      <c r="N84" s="17">
        <f>IFERROR($L84*$M84,"")</f>
        <v/>
      </c>
      <c r="O84" s="20">
        <f>IFERROR($L84/$H84,"")</f>
        <v/>
      </c>
      <c r="P84" s="19">
        <f>IF($A84="","",IFERROR(INDEX(学校マスタ!$F$2:$F$71,MATCH($A84,学校マスタ!$A$2:$A$71,0)),""))</f>
        <v/>
      </c>
    </row>
    <row r="85">
      <c r="A85" s="6" t="n"/>
      <c r="B85" s="6" t="n"/>
      <c r="C85" s="6" t="n"/>
      <c r="D85" s="15" t="n"/>
      <c r="E85" s="15" t="n"/>
      <c r="F85" s="16" t="n"/>
      <c r="G85" s="17">
        <f>IFERROR($D85*$F85,"")</f>
        <v/>
      </c>
      <c r="H85" s="15" t="n"/>
      <c r="I85" s="18">
        <f>IFERROR($H85/$D85-1,"")</f>
        <v/>
      </c>
      <c r="J85" s="15" t="n"/>
      <c r="K85" s="19">
        <f>IF($A85="","",IFERROR(INDEX(学校マスタ!$G$2:$G$71,MATCH($A85,学校マスタ!$A$2:$A$71,0)),""))</f>
        <v/>
      </c>
      <c r="L85" s="17">
        <f>IF(OR($A85="",$H85="",$J85=""),"",IF($K85="なし",0,$H85-$J85))</f>
        <v/>
      </c>
      <c r="M85" s="16" t="n"/>
      <c r="N85" s="17">
        <f>IFERROR($L85*$M85,"")</f>
        <v/>
      </c>
      <c r="O85" s="20">
        <f>IFERROR($L85/$H85,"")</f>
        <v/>
      </c>
      <c r="P85" s="19">
        <f>IF($A85="","",IFERROR(INDEX(学校マスタ!$F$2:$F$71,MATCH($A85,学校マスタ!$A$2:$A$71,0)),""))</f>
        <v/>
      </c>
    </row>
    <row r="86">
      <c r="A86" s="6" t="n"/>
      <c r="B86" s="6" t="n"/>
      <c r="C86" s="6" t="n"/>
      <c r="D86" s="15" t="n"/>
      <c r="E86" s="15" t="n"/>
      <c r="F86" s="16" t="n"/>
      <c r="G86" s="17">
        <f>IFERROR($D86*$F86,"")</f>
        <v/>
      </c>
      <c r="H86" s="15" t="n"/>
      <c r="I86" s="18">
        <f>IFERROR($H86/$D86-1,"")</f>
        <v/>
      </c>
      <c r="J86" s="15" t="n"/>
      <c r="K86" s="19">
        <f>IF($A86="","",IFERROR(INDEX(学校マスタ!$G$2:$G$71,MATCH($A86,学校マスタ!$A$2:$A$71,0)),""))</f>
        <v/>
      </c>
      <c r="L86" s="17">
        <f>IF(OR($A86="",$H86="",$J86=""),"",IF($K86="なし",0,$H86-$J86))</f>
        <v/>
      </c>
      <c r="M86" s="16" t="n"/>
      <c r="N86" s="17">
        <f>IFERROR($L86*$M86,"")</f>
        <v/>
      </c>
      <c r="O86" s="20">
        <f>IFERROR($L86/$H86,"")</f>
        <v/>
      </c>
      <c r="P86" s="19">
        <f>IF($A86="","",IFERROR(INDEX(学校マスタ!$F$2:$F$71,MATCH($A86,学校マスタ!$A$2:$A$71,0)),""))</f>
        <v/>
      </c>
    </row>
    <row r="87">
      <c r="A87" s="6" t="n"/>
      <c r="B87" s="6" t="n"/>
      <c r="C87" s="6" t="n"/>
      <c r="D87" s="15" t="n"/>
      <c r="E87" s="15" t="n"/>
      <c r="F87" s="16" t="n"/>
      <c r="G87" s="17">
        <f>IFERROR($D87*$F87,"")</f>
        <v/>
      </c>
      <c r="H87" s="15" t="n"/>
      <c r="I87" s="18">
        <f>IFERROR($H87/$D87-1,"")</f>
        <v/>
      </c>
      <c r="J87" s="15" t="n"/>
      <c r="K87" s="19">
        <f>IF($A87="","",IFERROR(INDEX(学校マスタ!$G$2:$G$71,MATCH($A87,学校マスタ!$A$2:$A$71,0)),""))</f>
        <v/>
      </c>
      <c r="L87" s="17">
        <f>IF(OR($A87="",$H87="",$J87=""),"",IF($K87="なし",0,$H87-$J87))</f>
        <v/>
      </c>
      <c r="M87" s="16" t="n"/>
      <c r="N87" s="17">
        <f>IFERROR($L87*$M87,"")</f>
        <v/>
      </c>
      <c r="O87" s="20">
        <f>IFERROR($L87/$H87,"")</f>
        <v/>
      </c>
      <c r="P87" s="19">
        <f>IF($A87="","",IFERROR(INDEX(学校マスタ!$F$2:$F$71,MATCH($A87,学校マスタ!$A$2:$A$71,0)),""))</f>
        <v/>
      </c>
    </row>
    <row r="88">
      <c r="A88" s="6" t="n"/>
      <c r="B88" s="6" t="n"/>
      <c r="C88" s="6" t="n"/>
      <c r="D88" s="15" t="n"/>
      <c r="E88" s="15" t="n"/>
      <c r="F88" s="16" t="n"/>
      <c r="G88" s="17">
        <f>IFERROR($D88*$F88,"")</f>
        <v/>
      </c>
      <c r="H88" s="15" t="n"/>
      <c r="I88" s="18">
        <f>IFERROR($H88/$D88-1,"")</f>
        <v/>
      </c>
      <c r="J88" s="15" t="n"/>
      <c r="K88" s="19">
        <f>IF($A88="","",IFERROR(INDEX(学校マスタ!$G$2:$G$71,MATCH($A88,学校マスタ!$A$2:$A$71,0)),""))</f>
        <v/>
      </c>
      <c r="L88" s="17">
        <f>IF(OR($A88="",$H88="",$J88=""),"",IF($K88="なし",0,$H88-$J88))</f>
        <v/>
      </c>
      <c r="M88" s="16" t="n"/>
      <c r="N88" s="17">
        <f>IFERROR($L88*$M88,"")</f>
        <v/>
      </c>
      <c r="O88" s="20">
        <f>IFERROR($L88/$H88,"")</f>
        <v/>
      </c>
      <c r="P88" s="19">
        <f>IF($A88="","",IFERROR(INDEX(学校マスタ!$F$2:$F$71,MATCH($A88,学校マスタ!$A$2:$A$71,0)),""))</f>
        <v/>
      </c>
    </row>
    <row r="89">
      <c r="A89" s="6" t="n"/>
      <c r="B89" s="6" t="n"/>
      <c r="C89" s="6" t="n"/>
      <c r="D89" s="15" t="n"/>
      <c r="E89" s="15" t="n"/>
      <c r="F89" s="16" t="n"/>
      <c r="G89" s="17">
        <f>IFERROR($D89*$F89,"")</f>
        <v/>
      </c>
      <c r="H89" s="15" t="n"/>
      <c r="I89" s="18">
        <f>IFERROR($H89/$D89-1,"")</f>
        <v/>
      </c>
      <c r="J89" s="15" t="n"/>
      <c r="K89" s="19">
        <f>IF($A89="","",IFERROR(INDEX(学校マスタ!$G$2:$G$71,MATCH($A89,学校マスタ!$A$2:$A$71,0)),""))</f>
        <v/>
      </c>
      <c r="L89" s="17">
        <f>IF(OR($A89="",$H89="",$J89=""),"",IF($K89="なし",0,$H89-$J89))</f>
        <v/>
      </c>
      <c r="M89" s="16" t="n"/>
      <c r="N89" s="17">
        <f>IFERROR($L89*$M89,"")</f>
        <v/>
      </c>
      <c r="O89" s="20">
        <f>IFERROR($L89/$H89,"")</f>
        <v/>
      </c>
      <c r="P89" s="19">
        <f>IF($A89="","",IFERROR(INDEX(学校マスタ!$F$2:$F$71,MATCH($A89,学校マスタ!$A$2:$A$71,0)),""))</f>
        <v/>
      </c>
    </row>
    <row r="90">
      <c r="A90" s="6" t="n"/>
      <c r="B90" s="6" t="n"/>
      <c r="C90" s="6" t="n"/>
      <c r="D90" s="15" t="n"/>
      <c r="E90" s="15" t="n"/>
      <c r="F90" s="16" t="n"/>
      <c r="G90" s="17">
        <f>IFERROR($D90*$F90,"")</f>
        <v/>
      </c>
      <c r="H90" s="15" t="n"/>
      <c r="I90" s="18">
        <f>IFERROR($H90/$D90-1,"")</f>
        <v/>
      </c>
      <c r="J90" s="15" t="n"/>
      <c r="K90" s="19">
        <f>IF($A90="","",IFERROR(INDEX(学校マスタ!$G$2:$G$71,MATCH($A90,学校マスタ!$A$2:$A$71,0)),""))</f>
        <v/>
      </c>
      <c r="L90" s="17">
        <f>IF(OR($A90="",$H90="",$J90=""),"",IF($K90="なし",0,$H90-$J90))</f>
        <v/>
      </c>
      <c r="M90" s="16" t="n"/>
      <c r="N90" s="17">
        <f>IFERROR($L90*$M90,"")</f>
        <v/>
      </c>
      <c r="O90" s="20">
        <f>IFERROR($L90/$H90,"")</f>
        <v/>
      </c>
      <c r="P90" s="19">
        <f>IF($A90="","",IFERROR(INDEX(学校マスタ!$F$2:$F$71,MATCH($A90,学校マスタ!$A$2:$A$71,0)),""))</f>
        <v/>
      </c>
    </row>
    <row r="91">
      <c r="A91" s="6" t="n"/>
      <c r="B91" s="6" t="n"/>
      <c r="C91" s="6" t="n"/>
      <c r="D91" s="15" t="n"/>
      <c r="E91" s="15" t="n"/>
      <c r="F91" s="16" t="n"/>
      <c r="G91" s="17">
        <f>IFERROR($D91*$F91,"")</f>
        <v/>
      </c>
      <c r="H91" s="15" t="n"/>
      <c r="I91" s="18">
        <f>IFERROR($H91/$D91-1,"")</f>
        <v/>
      </c>
      <c r="J91" s="15" t="n"/>
      <c r="K91" s="19">
        <f>IF($A91="","",IFERROR(INDEX(学校マスタ!$G$2:$G$71,MATCH($A91,学校マスタ!$A$2:$A$71,0)),""))</f>
        <v/>
      </c>
      <c r="L91" s="17">
        <f>IF(OR($A91="",$H91="",$J91=""),"",IF($K91="なし",0,$H91-$J91))</f>
        <v/>
      </c>
      <c r="M91" s="16" t="n"/>
      <c r="N91" s="17">
        <f>IFERROR($L91*$M91,"")</f>
        <v/>
      </c>
      <c r="O91" s="20">
        <f>IFERROR($L91/$H91,"")</f>
        <v/>
      </c>
      <c r="P91" s="19">
        <f>IF($A91="","",IFERROR(INDEX(学校マスタ!$F$2:$F$71,MATCH($A91,学校マスタ!$A$2:$A$71,0)),""))</f>
        <v/>
      </c>
    </row>
    <row r="92">
      <c r="A92" s="6" t="n"/>
      <c r="B92" s="6" t="n"/>
      <c r="C92" s="6" t="n"/>
      <c r="D92" s="15" t="n"/>
      <c r="E92" s="15" t="n"/>
      <c r="F92" s="16" t="n"/>
      <c r="G92" s="17">
        <f>IFERROR($D92*$F92,"")</f>
        <v/>
      </c>
      <c r="H92" s="15" t="n"/>
      <c r="I92" s="18">
        <f>IFERROR($H92/$D92-1,"")</f>
        <v/>
      </c>
      <c r="J92" s="15" t="n"/>
      <c r="K92" s="19">
        <f>IF($A92="","",IFERROR(INDEX(学校マスタ!$G$2:$G$71,MATCH($A92,学校マスタ!$A$2:$A$71,0)),""))</f>
        <v/>
      </c>
      <c r="L92" s="17">
        <f>IF(OR($A92="",$H92="",$J92=""),"",IF($K92="なし",0,$H92-$J92))</f>
        <v/>
      </c>
      <c r="M92" s="16" t="n"/>
      <c r="N92" s="17">
        <f>IFERROR($L92*$M92,"")</f>
        <v/>
      </c>
      <c r="O92" s="20">
        <f>IFERROR($L92/$H92,"")</f>
        <v/>
      </c>
      <c r="P92" s="19">
        <f>IF($A92="","",IFERROR(INDEX(学校マスタ!$F$2:$F$71,MATCH($A92,学校マスタ!$A$2:$A$71,0)),""))</f>
        <v/>
      </c>
    </row>
    <row r="93">
      <c r="A93" s="6" t="n"/>
      <c r="B93" s="6" t="n"/>
      <c r="C93" s="6" t="n"/>
      <c r="D93" s="15" t="n"/>
      <c r="E93" s="15" t="n"/>
      <c r="F93" s="16" t="n"/>
      <c r="G93" s="17">
        <f>IFERROR($D93*$F93,"")</f>
        <v/>
      </c>
      <c r="H93" s="15" t="n"/>
      <c r="I93" s="18">
        <f>IFERROR($H93/$D93-1,"")</f>
        <v/>
      </c>
      <c r="J93" s="15" t="n"/>
      <c r="K93" s="19">
        <f>IF($A93="","",IFERROR(INDEX(学校マスタ!$G$2:$G$71,MATCH($A93,学校マスタ!$A$2:$A$71,0)),""))</f>
        <v/>
      </c>
      <c r="L93" s="17">
        <f>IF(OR($A93="",$H93="",$J93=""),"",IF($K93="なし",0,$H93-$J93))</f>
        <v/>
      </c>
      <c r="M93" s="16" t="n"/>
      <c r="N93" s="17">
        <f>IFERROR($L93*$M93,"")</f>
        <v/>
      </c>
      <c r="O93" s="20">
        <f>IFERROR($L93/$H93,"")</f>
        <v/>
      </c>
      <c r="P93" s="19">
        <f>IF($A93="","",IFERROR(INDEX(学校マスタ!$F$2:$F$71,MATCH($A93,学校マスタ!$A$2:$A$71,0)),""))</f>
        <v/>
      </c>
    </row>
    <row r="94">
      <c r="A94" s="6" t="n"/>
      <c r="B94" s="6" t="n"/>
      <c r="C94" s="6" t="n"/>
      <c r="D94" s="15" t="n"/>
      <c r="E94" s="15" t="n"/>
      <c r="F94" s="16" t="n"/>
      <c r="G94" s="17">
        <f>IFERROR($D94*$F94,"")</f>
        <v/>
      </c>
      <c r="H94" s="15" t="n"/>
      <c r="I94" s="18">
        <f>IFERROR($H94/$D94-1,"")</f>
        <v/>
      </c>
      <c r="J94" s="15" t="n"/>
      <c r="K94" s="19">
        <f>IF($A94="","",IFERROR(INDEX(学校マスタ!$G$2:$G$71,MATCH($A94,学校マスタ!$A$2:$A$71,0)),""))</f>
        <v/>
      </c>
      <c r="L94" s="17">
        <f>IF(OR($A94="",$H94="",$J94=""),"",IF($K94="なし",0,$H94-$J94))</f>
        <v/>
      </c>
      <c r="M94" s="16" t="n"/>
      <c r="N94" s="17">
        <f>IFERROR($L94*$M94,"")</f>
        <v/>
      </c>
      <c r="O94" s="20">
        <f>IFERROR($L94/$H94,"")</f>
        <v/>
      </c>
      <c r="P94" s="19">
        <f>IF($A94="","",IFERROR(INDEX(学校マスタ!$F$2:$F$71,MATCH($A94,学校マスタ!$A$2:$A$71,0)),""))</f>
        <v/>
      </c>
    </row>
    <row r="95">
      <c r="A95" s="6" t="n"/>
      <c r="B95" s="6" t="n"/>
      <c r="C95" s="6" t="n"/>
      <c r="D95" s="15" t="n"/>
      <c r="E95" s="15" t="n"/>
      <c r="F95" s="16" t="n"/>
      <c r="G95" s="17">
        <f>IFERROR($D95*$F95,"")</f>
        <v/>
      </c>
      <c r="H95" s="15" t="n"/>
      <c r="I95" s="18">
        <f>IFERROR($H95/$D95-1,"")</f>
        <v/>
      </c>
      <c r="J95" s="15" t="n"/>
      <c r="K95" s="19">
        <f>IF($A95="","",IFERROR(INDEX(学校マスタ!$G$2:$G$71,MATCH($A95,学校マスタ!$A$2:$A$71,0)),""))</f>
        <v/>
      </c>
      <c r="L95" s="17">
        <f>IF(OR($A95="",$H95="",$J95=""),"",IF($K95="なし",0,$H95-$J95))</f>
        <v/>
      </c>
      <c r="M95" s="16" t="n"/>
      <c r="N95" s="17">
        <f>IFERROR($L95*$M95,"")</f>
        <v/>
      </c>
      <c r="O95" s="20">
        <f>IFERROR($L95/$H95,"")</f>
        <v/>
      </c>
      <c r="P95" s="19">
        <f>IF($A95="","",IFERROR(INDEX(学校マスタ!$F$2:$F$71,MATCH($A95,学校マスタ!$A$2:$A$71,0)),""))</f>
        <v/>
      </c>
    </row>
    <row r="96">
      <c r="A96" s="6" t="n"/>
      <c r="B96" s="6" t="n"/>
      <c r="C96" s="6" t="n"/>
      <c r="D96" s="15" t="n"/>
      <c r="E96" s="15" t="n"/>
      <c r="F96" s="16" t="n"/>
      <c r="G96" s="17">
        <f>IFERROR($D96*$F96,"")</f>
        <v/>
      </c>
      <c r="H96" s="15" t="n"/>
      <c r="I96" s="18">
        <f>IFERROR($H96/$D96-1,"")</f>
        <v/>
      </c>
      <c r="J96" s="15" t="n"/>
      <c r="K96" s="19">
        <f>IF($A96="","",IFERROR(INDEX(学校マスタ!$G$2:$G$71,MATCH($A96,学校マスタ!$A$2:$A$71,0)),""))</f>
        <v/>
      </c>
      <c r="L96" s="17">
        <f>IF(OR($A96="",$H96="",$J96=""),"",IF($K96="なし",0,$H96-$J96))</f>
        <v/>
      </c>
      <c r="M96" s="16" t="n"/>
      <c r="N96" s="17">
        <f>IFERROR($L96*$M96,"")</f>
        <v/>
      </c>
      <c r="O96" s="20">
        <f>IFERROR($L96/$H96,"")</f>
        <v/>
      </c>
      <c r="P96" s="19">
        <f>IF($A96="","",IFERROR(INDEX(学校マスタ!$F$2:$F$71,MATCH($A96,学校マスタ!$A$2:$A$71,0)),""))</f>
        <v/>
      </c>
    </row>
    <row r="97">
      <c r="A97" s="6" t="n"/>
      <c r="B97" s="6" t="n"/>
      <c r="C97" s="6" t="n"/>
      <c r="D97" s="15" t="n"/>
      <c r="E97" s="15" t="n"/>
      <c r="F97" s="16" t="n"/>
      <c r="G97" s="17">
        <f>IFERROR($D97*$F97,"")</f>
        <v/>
      </c>
      <c r="H97" s="15" t="n"/>
      <c r="I97" s="18">
        <f>IFERROR($H97/$D97-1,"")</f>
        <v/>
      </c>
      <c r="J97" s="15" t="n"/>
      <c r="K97" s="19">
        <f>IF($A97="","",IFERROR(INDEX(学校マスタ!$G$2:$G$71,MATCH($A97,学校マスタ!$A$2:$A$71,0)),""))</f>
        <v/>
      </c>
      <c r="L97" s="17">
        <f>IF(OR($A97="",$H97="",$J97=""),"",IF($K97="なし",0,$H97-$J97))</f>
        <v/>
      </c>
      <c r="M97" s="16" t="n"/>
      <c r="N97" s="17">
        <f>IFERROR($L97*$M97,"")</f>
        <v/>
      </c>
      <c r="O97" s="20">
        <f>IFERROR($L97/$H97,"")</f>
        <v/>
      </c>
      <c r="P97" s="19">
        <f>IF($A97="","",IFERROR(INDEX(学校マスタ!$F$2:$F$71,MATCH($A97,学校マスタ!$A$2:$A$71,0)),""))</f>
        <v/>
      </c>
    </row>
    <row r="98">
      <c r="A98" s="6" t="n"/>
      <c r="B98" s="6" t="n"/>
      <c r="C98" s="6" t="n"/>
      <c r="D98" s="15" t="n"/>
      <c r="E98" s="15" t="n"/>
      <c r="F98" s="16" t="n"/>
      <c r="G98" s="17">
        <f>IFERROR($D98*$F98,"")</f>
        <v/>
      </c>
      <c r="H98" s="15" t="n"/>
      <c r="I98" s="18">
        <f>IFERROR($H98/$D98-1,"")</f>
        <v/>
      </c>
      <c r="J98" s="15" t="n"/>
      <c r="K98" s="19">
        <f>IF($A98="","",IFERROR(INDEX(学校マスタ!$G$2:$G$71,MATCH($A98,学校マスタ!$A$2:$A$71,0)),""))</f>
        <v/>
      </c>
      <c r="L98" s="17">
        <f>IF(OR($A98="",$H98="",$J98=""),"",IF($K98="なし",0,$H98-$J98))</f>
        <v/>
      </c>
      <c r="M98" s="16" t="n"/>
      <c r="N98" s="17">
        <f>IFERROR($L98*$M98,"")</f>
        <v/>
      </c>
      <c r="O98" s="20">
        <f>IFERROR($L98/$H98,"")</f>
        <v/>
      </c>
      <c r="P98" s="19">
        <f>IF($A98="","",IFERROR(INDEX(学校マスタ!$F$2:$F$71,MATCH($A98,学校マスタ!$A$2:$A$71,0)),""))</f>
        <v/>
      </c>
    </row>
    <row r="99">
      <c r="A99" s="6" t="n"/>
      <c r="B99" s="6" t="n"/>
      <c r="C99" s="6" t="n"/>
      <c r="D99" s="15" t="n"/>
      <c r="E99" s="15" t="n"/>
      <c r="F99" s="16" t="n"/>
      <c r="G99" s="17">
        <f>IFERROR($D99*$F99,"")</f>
        <v/>
      </c>
      <c r="H99" s="15" t="n"/>
      <c r="I99" s="18">
        <f>IFERROR($H99/$D99-1,"")</f>
        <v/>
      </c>
      <c r="J99" s="15" t="n"/>
      <c r="K99" s="19">
        <f>IF($A99="","",IFERROR(INDEX(学校マスタ!$G$2:$G$71,MATCH($A99,学校マスタ!$A$2:$A$71,0)),""))</f>
        <v/>
      </c>
      <c r="L99" s="17">
        <f>IF(OR($A99="",$H99="",$J99=""),"",IF($K99="なし",0,$H99-$J99))</f>
        <v/>
      </c>
      <c r="M99" s="16" t="n"/>
      <c r="N99" s="17">
        <f>IFERROR($L99*$M99,"")</f>
        <v/>
      </c>
      <c r="O99" s="20">
        <f>IFERROR($L99/$H99,"")</f>
        <v/>
      </c>
      <c r="P99" s="19">
        <f>IF($A99="","",IFERROR(INDEX(学校マスタ!$F$2:$F$71,MATCH($A99,学校マスタ!$A$2:$A$71,0)),""))</f>
        <v/>
      </c>
    </row>
    <row r="100">
      <c r="A100" s="6" t="n"/>
      <c r="B100" s="6" t="n"/>
      <c r="C100" s="6" t="n"/>
      <c r="D100" s="15" t="n"/>
      <c r="E100" s="15" t="n"/>
      <c r="F100" s="16" t="n"/>
      <c r="G100" s="17">
        <f>IFERROR($D100*$F100,"")</f>
        <v/>
      </c>
      <c r="H100" s="15" t="n"/>
      <c r="I100" s="18">
        <f>IFERROR($H100/$D100-1,"")</f>
        <v/>
      </c>
      <c r="J100" s="15" t="n"/>
      <c r="K100" s="19">
        <f>IF($A100="","",IFERROR(INDEX(学校マスタ!$G$2:$G$71,MATCH($A100,学校マスタ!$A$2:$A$71,0)),""))</f>
        <v/>
      </c>
      <c r="L100" s="17">
        <f>IF(OR($A100="",$H100="",$J100=""),"",IF($K100="なし",0,$H100-$J100))</f>
        <v/>
      </c>
      <c r="M100" s="16" t="n"/>
      <c r="N100" s="17">
        <f>IFERROR($L100*$M100,"")</f>
        <v/>
      </c>
      <c r="O100" s="20">
        <f>IFERROR($L100/$H100,"")</f>
        <v/>
      </c>
      <c r="P100" s="19">
        <f>IF($A100="","",IFERROR(INDEX(学校マスタ!$F$2:$F$71,MATCH($A100,学校マスタ!$A$2:$A$71,0)),""))</f>
        <v/>
      </c>
    </row>
    <row r="101">
      <c r="A101" s="6" t="n"/>
      <c r="B101" s="6" t="n"/>
      <c r="C101" s="6" t="n"/>
      <c r="D101" s="15" t="n"/>
      <c r="E101" s="15" t="n"/>
      <c r="F101" s="16" t="n"/>
      <c r="G101" s="17">
        <f>IFERROR($D101*$F101,"")</f>
        <v/>
      </c>
      <c r="H101" s="15" t="n"/>
      <c r="I101" s="18">
        <f>IFERROR($H101/$D101-1,"")</f>
        <v/>
      </c>
      <c r="J101" s="15" t="n"/>
      <c r="K101" s="19">
        <f>IF($A101="","",IFERROR(INDEX(学校マスタ!$G$2:$G$71,MATCH($A101,学校マスタ!$A$2:$A$71,0)),""))</f>
        <v/>
      </c>
      <c r="L101" s="17">
        <f>IF(OR($A101="",$H101="",$J101=""),"",IF($K101="なし",0,$H101-$J101))</f>
        <v/>
      </c>
      <c r="M101" s="16" t="n"/>
      <c r="N101" s="17">
        <f>IFERROR($L101*$M101,"")</f>
        <v/>
      </c>
      <c r="O101" s="20">
        <f>IFERROR($L101/$H101,"")</f>
        <v/>
      </c>
      <c r="P101" s="19">
        <f>IF($A101="","",IFERROR(INDEX(学校マスタ!$F$2:$F$71,MATCH($A101,学校マスタ!$A$2:$A$71,0)),""))</f>
        <v/>
      </c>
    </row>
    <row r="102">
      <c r="A102" s="6" t="n"/>
      <c r="B102" s="6" t="n"/>
      <c r="C102" s="6" t="n"/>
      <c r="D102" s="15" t="n"/>
      <c r="E102" s="15" t="n"/>
      <c r="F102" s="16" t="n"/>
      <c r="G102" s="17">
        <f>IFERROR($D102*$F102,"")</f>
        <v/>
      </c>
      <c r="H102" s="15" t="n"/>
      <c r="I102" s="18">
        <f>IFERROR($H102/$D102-1,"")</f>
        <v/>
      </c>
      <c r="J102" s="15" t="n"/>
      <c r="K102" s="19">
        <f>IF($A102="","",IFERROR(INDEX(学校マスタ!$G$2:$G$71,MATCH($A102,学校マスタ!$A$2:$A$71,0)),""))</f>
        <v/>
      </c>
      <c r="L102" s="17">
        <f>IF(OR($A102="",$H102="",$J102=""),"",IF($K102="なし",0,$H102-$J102))</f>
        <v/>
      </c>
      <c r="M102" s="16" t="n"/>
      <c r="N102" s="17">
        <f>IFERROR($L102*$M102,"")</f>
        <v/>
      </c>
      <c r="O102" s="20">
        <f>IFERROR($L102/$H102,"")</f>
        <v/>
      </c>
      <c r="P102" s="19">
        <f>IF($A102="","",IFERROR(INDEX(学校マスタ!$F$2:$F$71,MATCH($A102,学校マスタ!$A$2:$A$71,0)),""))</f>
        <v/>
      </c>
    </row>
    <row r="103">
      <c r="A103" s="6" t="n"/>
      <c r="B103" s="6" t="n"/>
      <c r="C103" s="6" t="n"/>
      <c r="D103" s="15" t="n"/>
      <c r="E103" s="15" t="n"/>
      <c r="F103" s="16" t="n"/>
      <c r="G103" s="17">
        <f>IFERROR($D103*$F103,"")</f>
        <v/>
      </c>
      <c r="H103" s="15" t="n"/>
      <c r="I103" s="18">
        <f>IFERROR($H103/$D103-1,"")</f>
        <v/>
      </c>
      <c r="J103" s="15" t="n"/>
      <c r="K103" s="19">
        <f>IF($A103="","",IFERROR(INDEX(学校マスタ!$G$2:$G$71,MATCH($A103,学校マスタ!$A$2:$A$71,0)),""))</f>
        <v/>
      </c>
      <c r="L103" s="17">
        <f>IF(OR($A103="",$H103="",$J103=""),"",IF($K103="なし",0,$H103-$J103))</f>
        <v/>
      </c>
      <c r="M103" s="16" t="n"/>
      <c r="N103" s="17">
        <f>IFERROR($L103*$M103,"")</f>
        <v/>
      </c>
      <c r="O103" s="20">
        <f>IFERROR($L103/$H103,"")</f>
        <v/>
      </c>
      <c r="P103" s="19">
        <f>IF($A103="","",IFERROR(INDEX(学校マスタ!$F$2:$F$71,MATCH($A103,学校マスタ!$A$2:$A$71,0)),""))</f>
        <v/>
      </c>
    </row>
    <row r="104">
      <c r="A104" s="6" t="n"/>
      <c r="B104" s="6" t="n"/>
      <c r="C104" s="6" t="n"/>
      <c r="D104" s="15" t="n"/>
      <c r="E104" s="15" t="n"/>
      <c r="F104" s="16" t="n"/>
      <c r="G104" s="17">
        <f>IFERROR($D104*$F104,"")</f>
        <v/>
      </c>
      <c r="H104" s="15" t="n"/>
      <c r="I104" s="18">
        <f>IFERROR($H104/$D104-1,"")</f>
        <v/>
      </c>
      <c r="J104" s="15" t="n"/>
      <c r="K104" s="19">
        <f>IF($A104="","",IFERROR(INDEX(学校マスタ!$G$2:$G$71,MATCH($A104,学校マスタ!$A$2:$A$71,0)),""))</f>
        <v/>
      </c>
      <c r="L104" s="17">
        <f>IF(OR($A104="",$H104="",$J104=""),"",IF($K104="なし",0,$H104-$J104))</f>
        <v/>
      </c>
      <c r="M104" s="16" t="n"/>
      <c r="N104" s="17">
        <f>IFERROR($L104*$M104,"")</f>
        <v/>
      </c>
      <c r="O104" s="20">
        <f>IFERROR($L104/$H104,"")</f>
        <v/>
      </c>
      <c r="P104" s="19">
        <f>IF($A104="","",IFERROR(INDEX(学校マスタ!$F$2:$F$71,MATCH($A104,学校マスタ!$A$2:$A$71,0)),""))</f>
        <v/>
      </c>
    </row>
    <row r="105">
      <c r="A105" s="6" t="n"/>
      <c r="B105" s="6" t="n"/>
      <c r="C105" s="6" t="n"/>
      <c r="D105" s="15" t="n"/>
      <c r="E105" s="15" t="n"/>
      <c r="F105" s="16" t="n"/>
      <c r="G105" s="17">
        <f>IFERROR($D105*$F105,"")</f>
        <v/>
      </c>
      <c r="H105" s="15" t="n"/>
      <c r="I105" s="18">
        <f>IFERROR($H105/$D105-1,"")</f>
        <v/>
      </c>
      <c r="J105" s="15" t="n"/>
      <c r="K105" s="19">
        <f>IF($A105="","",IFERROR(INDEX(学校マスタ!$G$2:$G$71,MATCH($A105,学校マスタ!$A$2:$A$71,0)),""))</f>
        <v/>
      </c>
      <c r="L105" s="17">
        <f>IF(OR($A105="",$H105="",$J105=""),"",IF($K105="なし",0,$H105-$J105))</f>
        <v/>
      </c>
      <c r="M105" s="16" t="n"/>
      <c r="N105" s="17">
        <f>IFERROR($L105*$M105,"")</f>
        <v/>
      </c>
      <c r="O105" s="20">
        <f>IFERROR($L105/$H105,"")</f>
        <v/>
      </c>
      <c r="P105" s="19">
        <f>IF($A105="","",IFERROR(INDEX(学校マスタ!$F$2:$F$71,MATCH($A105,学校マスタ!$A$2:$A$71,0)),""))</f>
        <v/>
      </c>
    </row>
    <row r="106">
      <c r="A106" s="6" t="n"/>
      <c r="B106" s="6" t="n"/>
      <c r="C106" s="6" t="n"/>
      <c r="D106" s="15" t="n"/>
      <c r="E106" s="15" t="n"/>
      <c r="F106" s="16" t="n"/>
      <c r="G106" s="17">
        <f>IFERROR($D106*$F106,"")</f>
        <v/>
      </c>
      <c r="H106" s="15" t="n"/>
      <c r="I106" s="18">
        <f>IFERROR($H106/$D106-1,"")</f>
        <v/>
      </c>
      <c r="J106" s="15" t="n"/>
      <c r="K106" s="19">
        <f>IF($A106="","",IFERROR(INDEX(学校マスタ!$G$2:$G$71,MATCH($A106,学校マスタ!$A$2:$A$71,0)),""))</f>
        <v/>
      </c>
      <c r="L106" s="17">
        <f>IF(OR($A106="",$H106="",$J106=""),"",IF($K106="なし",0,$H106-$J106))</f>
        <v/>
      </c>
      <c r="M106" s="16" t="n"/>
      <c r="N106" s="17">
        <f>IFERROR($L106*$M106,"")</f>
        <v/>
      </c>
      <c r="O106" s="20">
        <f>IFERROR($L106/$H106,"")</f>
        <v/>
      </c>
      <c r="P106" s="19">
        <f>IF($A106="","",IFERROR(INDEX(学校マスタ!$F$2:$F$71,MATCH($A106,学校マスタ!$A$2:$A$71,0)),""))</f>
        <v/>
      </c>
    </row>
    <row r="107">
      <c r="A107" s="6" t="n"/>
      <c r="B107" s="6" t="n"/>
      <c r="C107" s="6" t="n"/>
      <c r="D107" s="15" t="n"/>
      <c r="E107" s="15" t="n"/>
      <c r="F107" s="16" t="n"/>
      <c r="G107" s="17">
        <f>IFERROR($D107*$F107,"")</f>
        <v/>
      </c>
      <c r="H107" s="15" t="n"/>
      <c r="I107" s="18">
        <f>IFERROR($H107/$D107-1,"")</f>
        <v/>
      </c>
      <c r="J107" s="15" t="n"/>
      <c r="K107" s="19">
        <f>IF($A107="","",IFERROR(INDEX(学校マスタ!$G$2:$G$71,MATCH($A107,学校マスタ!$A$2:$A$71,0)),""))</f>
        <v/>
      </c>
      <c r="L107" s="17">
        <f>IF(OR($A107="",$H107="",$J107=""),"",IF($K107="なし",0,$H107-$J107))</f>
        <v/>
      </c>
      <c r="M107" s="16" t="n"/>
      <c r="N107" s="17">
        <f>IFERROR($L107*$M107,"")</f>
        <v/>
      </c>
      <c r="O107" s="20">
        <f>IFERROR($L107/$H107,"")</f>
        <v/>
      </c>
      <c r="P107" s="19">
        <f>IF($A107="","",IFERROR(INDEX(学校マスタ!$F$2:$F$71,MATCH($A107,学校マスタ!$A$2:$A$71,0)),""))</f>
        <v/>
      </c>
    </row>
    <row r="108">
      <c r="A108" s="6" t="n"/>
      <c r="B108" s="6" t="n"/>
      <c r="C108" s="6" t="n"/>
      <c r="D108" s="15" t="n"/>
      <c r="E108" s="15" t="n"/>
      <c r="F108" s="16" t="n"/>
      <c r="G108" s="17">
        <f>IFERROR($D108*$F108,"")</f>
        <v/>
      </c>
      <c r="H108" s="15" t="n"/>
      <c r="I108" s="18">
        <f>IFERROR($H108/$D108-1,"")</f>
        <v/>
      </c>
      <c r="J108" s="15" t="n"/>
      <c r="K108" s="19">
        <f>IF($A108="","",IFERROR(INDEX(学校マスタ!$G$2:$G$71,MATCH($A108,学校マスタ!$A$2:$A$71,0)),""))</f>
        <v/>
      </c>
      <c r="L108" s="17">
        <f>IF(OR($A108="",$H108="",$J108=""),"",IF($K108="なし",0,$H108-$J108))</f>
        <v/>
      </c>
      <c r="M108" s="16" t="n"/>
      <c r="N108" s="17">
        <f>IFERROR($L108*$M108,"")</f>
        <v/>
      </c>
      <c r="O108" s="20">
        <f>IFERROR($L108/$H108,"")</f>
        <v/>
      </c>
      <c r="P108" s="19">
        <f>IF($A108="","",IFERROR(INDEX(学校マスタ!$F$2:$F$71,MATCH($A108,学校マスタ!$A$2:$A$71,0)),""))</f>
        <v/>
      </c>
    </row>
    <row r="109">
      <c r="A109" s="6" t="n"/>
      <c r="B109" s="6" t="n"/>
      <c r="C109" s="6" t="n"/>
      <c r="D109" s="15" t="n"/>
      <c r="E109" s="15" t="n"/>
      <c r="F109" s="16" t="n"/>
      <c r="G109" s="17">
        <f>IFERROR($D109*$F109,"")</f>
        <v/>
      </c>
      <c r="H109" s="15" t="n"/>
      <c r="I109" s="18">
        <f>IFERROR($H109/$D109-1,"")</f>
        <v/>
      </c>
      <c r="J109" s="15" t="n"/>
      <c r="K109" s="19">
        <f>IF($A109="","",IFERROR(INDEX(学校マスタ!$G$2:$G$71,MATCH($A109,学校マスタ!$A$2:$A$71,0)),""))</f>
        <v/>
      </c>
      <c r="L109" s="17">
        <f>IF(OR($A109="",$H109="",$J109=""),"",IF($K109="なし",0,$H109-$J109))</f>
        <v/>
      </c>
      <c r="M109" s="16" t="n"/>
      <c r="N109" s="17">
        <f>IFERROR($L109*$M109,"")</f>
        <v/>
      </c>
      <c r="O109" s="20">
        <f>IFERROR($L109/$H109,"")</f>
        <v/>
      </c>
      <c r="P109" s="19">
        <f>IF($A109="","",IFERROR(INDEX(学校マスタ!$F$2:$F$71,MATCH($A109,学校マスタ!$A$2:$A$71,0)),""))</f>
        <v/>
      </c>
    </row>
    <row r="110">
      <c r="A110" s="6" t="n"/>
      <c r="B110" s="6" t="n"/>
      <c r="C110" s="6" t="n"/>
      <c r="D110" s="15" t="n"/>
      <c r="E110" s="15" t="n"/>
      <c r="F110" s="16" t="n"/>
      <c r="G110" s="17">
        <f>IFERROR($D110*$F110,"")</f>
        <v/>
      </c>
      <c r="H110" s="15" t="n"/>
      <c r="I110" s="18">
        <f>IFERROR($H110/$D110-1,"")</f>
        <v/>
      </c>
      <c r="J110" s="15" t="n"/>
      <c r="K110" s="19">
        <f>IF($A110="","",IFERROR(INDEX(学校マスタ!$G$2:$G$71,MATCH($A110,学校マスタ!$A$2:$A$71,0)),""))</f>
        <v/>
      </c>
      <c r="L110" s="17">
        <f>IF(OR($A110="",$H110="",$J110=""),"",IF($K110="なし",0,$H110-$J110))</f>
        <v/>
      </c>
      <c r="M110" s="16" t="n"/>
      <c r="N110" s="17">
        <f>IFERROR($L110*$M110,"")</f>
        <v/>
      </c>
      <c r="O110" s="20">
        <f>IFERROR($L110/$H110,"")</f>
        <v/>
      </c>
      <c r="P110" s="19">
        <f>IF($A110="","",IFERROR(INDEX(学校マスタ!$F$2:$F$71,MATCH($A110,学校マスタ!$A$2:$A$71,0)),""))</f>
        <v/>
      </c>
    </row>
    <row r="111">
      <c r="A111" s="6" t="n"/>
      <c r="B111" s="6" t="n"/>
      <c r="C111" s="6" t="n"/>
      <c r="D111" s="15" t="n"/>
      <c r="E111" s="15" t="n"/>
      <c r="F111" s="16" t="n"/>
      <c r="G111" s="17">
        <f>IFERROR($D111*$F111,"")</f>
        <v/>
      </c>
      <c r="H111" s="15" t="n"/>
      <c r="I111" s="18">
        <f>IFERROR($H111/$D111-1,"")</f>
        <v/>
      </c>
      <c r="J111" s="15" t="n"/>
      <c r="K111" s="19">
        <f>IF($A111="","",IFERROR(INDEX(学校マスタ!$G$2:$G$71,MATCH($A111,学校マスタ!$A$2:$A$71,0)),""))</f>
        <v/>
      </c>
      <c r="L111" s="17">
        <f>IF(OR($A111="",$H111="",$J111=""),"",IF($K111="なし",0,$H111-$J111))</f>
        <v/>
      </c>
      <c r="M111" s="16" t="n"/>
      <c r="N111" s="17">
        <f>IFERROR($L111*$M111,"")</f>
        <v/>
      </c>
      <c r="O111" s="20">
        <f>IFERROR($L111/$H111,"")</f>
        <v/>
      </c>
      <c r="P111" s="19">
        <f>IF($A111="","",IFERROR(INDEX(学校マスタ!$F$2:$F$71,MATCH($A111,学校マスタ!$A$2:$A$71,0)),""))</f>
        <v/>
      </c>
    </row>
    <row r="112">
      <c r="A112" s="6" t="n"/>
      <c r="B112" s="6" t="n"/>
      <c r="C112" s="6" t="n"/>
      <c r="D112" s="15" t="n"/>
      <c r="E112" s="15" t="n"/>
      <c r="F112" s="16" t="n"/>
      <c r="G112" s="17">
        <f>IFERROR($D112*$F112,"")</f>
        <v/>
      </c>
      <c r="H112" s="15" t="n"/>
      <c r="I112" s="18">
        <f>IFERROR($H112/$D112-1,"")</f>
        <v/>
      </c>
      <c r="J112" s="15" t="n"/>
      <c r="K112" s="19">
        <f>IF($A112="","",IFERROR(INDEX(学校マスタ!$G$2:$G$71,MATCH($A112,学校マスタ!$A$2:$A$71,0)),""))</f>
        <v/>
      </c>
      <c r="L112" s="17">
        <f>IF(OR($A112="",$H112="",$J112=""),"",IF($K112="なし",0,$H112-$J112))</f>
        <v/>
      </c>
      <c r="M112" s="16" t="n"/>
      <c r="N112" s="17">
        <f>IFERROR($L112*$M112,"")</f>
        <v/>
      </c>
      <c r="O112" s="20">
        <f>IFERROR($L112/$H112,"")</f>
        <v/>
      </c>
      <c r="P112" s="19">
        <f>IF($A112="","",IFERROR(INDEX(学校マスタ!$F$2:$F$71,MATCH($A112,学校マスタ!$A$2:$A$71,0)),""))</f>
        <v/>
      </c>
    </row>
    <row r="113">
      <c r="A113" s="6" t="n"/>
      <c r="B113" s="6" t="n"/>
      <c r="C113" s="6" t="n"/>
      <c r="D113" s="15" t="n"/>
      <c r="E113" s="15" t="n"/>
      <c r="F113" s="16" t="n"/>
      <c r="G113" s="17">
        <f>IFERROR($D113*$F113,"")</f>
        <v/>
      </c>
      <c r="H113" s="15" t="n"/>
      <c r="I113" s="18">
        <f>IFERROR($H113/$D113-1,"")</f>
        <v/>
      </c>
      <c r="J113" s="15" t="n"/>
      <c r="K113" s="19">
        <f>IF($A113="","",IFERROR(INDEX(学校マスタ!$G$2:$G$71,MATCH($A113,学校マスタ!$A$2:$A$71,0)),""))</f>
        <v/>
      </c>
      <c r="L113" s="17">
        <f>IF(OR($A113="",$H113="",$J113=""),"",IF($K113="なし",0,$H113-$J113))</f>
        <v/>
      </c>
      <c r="M113" s="16" t="n"/>
      <c r="N113" s="17">
        <f>IFERROR($L113*$M113,"")</f>
        <v/>
      </c>
      <c r="O113" s="20">
        <f>IFERROR($L113/$H113,"")</f>
        <v/>
      </c>
      <c r="P113" s="19">
        <f>IF($A113="","",IFERROR(INDEX(学校マスタ!$F$2:$F$71,MATCH($A113,学校マスタ!$A$2:$A$71,0)),""))</f>
        <v/>
      </c>
    </row>
    <row r="114">
      <c r="A114" s="6" t="n"/>
      <c r="B114" s="6" t="n"/>
      <c r="C114" s="6" t="n"/>
      <c r="D114" s="15" t="n"/>
      <c r="E114" s="15" t="n"/>
      <c r="F114" s="16" t="n"/>
      <c r="G114" s="17">
        <f>IFERROR($D114*$F114,"")</f>
        <v/>
      </c>
      <c r="H114" s="15" t="n"/>
      <c r="I114" s="18">
        <f>IFERROR($H114/$D114-1,"")</f>
        <v/>
      </c>
      <c r="J114" s="15" t="n"/>
      <c r="K114" s="19">
        <f>IF($A114="","",IFERROR(INDEX(学校マスタ!$G$2:$G$71,MATCH($A114,学校マスタ!$A$2:$A$71,0)),""))</f>
        <v/>
      </c>
      <c r="L114" s="17">
        <f>IF(OR($A114="",$H114="",$J114=""),"",IF($K114="なし",0,$H114-$J114))</f>
        <v/>
      </c>
      <c r="M114" s="16" t="n"/>
      <c r="N114" s="17">
        <f>IFERROR($L114*$M114,"")</f>
        <v/>
      </c>
      <c r="O114" s="20">
        <f>IFERROR($L114/$H114,"")</f>
        <v/>
      </c>
      <c r="P114" s="19">
        <f>IF($A114="","",IFERROR(INDEX(学校マスタ!$F$2:$F$71,MATCH($A114,学校マスタ!$A$2:$A$71,0)),""))</f>
        <v/>
      </c>
    </row>
    <row r="115">
      <c r="A115" s="6" t="n"/>
      <c r="B115" s="6" t="n"/>
      <c r="C115" s="6" t="n"/>
      <c r="D115" s="15" t="n"/>
      <c r="E115" s="15" t="n"/>
      <c r="F115" s="16" t="n"/>
      <c r="G115" s="17">
        <f>IFERROR($D115*$F115,"")</f>
        <v/>
      </c>
      <c r="H115" s="15" t="n"/>
      <c r="I115" s="18">
        <f>IFERROR($H115/$D115-1,"")</f>
        <v/>
      </c>
      <c r="J115" s="15" t="n"/>
      <c r="K115" s="19">
        <f>IF($A115="","",IFERROR(INDEX(学校マスタ!$G$2:$G$71,MATCH($A115,学校マスタ!$A$2:$A$71,0)),""))</f>
        <v/>
      </c>
      <c r="L115" s="17">
        <f>IF(OR($A115="",$H115="",$J115=""),"",IF($K115="なし",0,$H115-$J115))</f>
        <v/>
      </c>
      <c r="M115" s="16" t="n"/>
      <c r="N115" s="17">
        <f>IFERROR($L115*$M115,"")</f>
        <v/>
      </c>
      <c r="O115" s="20">
        <f>IFERROR($L115/$H115,"")</f>
        <v/>
      </c>
      <c r="P115" s="19">
        <f>IF($A115="","",IFERROR(INDEX(学校マスタ!$F$2:$F$71,MATCH($A115,学校マスタ!$A$2:$A$71,0)),""))</f>
        <v/>
      </c>
    </row>
    <row r="116">
      <c r="A116" s="6" t="n"/>
      <c r="B116" s="6" t="n"/>
      <c r="C116" s="6" t="n"/>
      <c r="D116" s="15" t="n"/>
      <c r="E116" s="15" t="n"/>
      <c r="F116" s="16" t="n"/>
      <c r="G116" s="17">
        <f>IFERROR($D116*$F116,"")</f>
        <v/>
      </c>
      <c r="H116" s="15" t="n"/>
      <c r="I116" s="18">
        <f>IFERROR($H116/$D116-1,"")</f>
        <v/>
      </c>
      <c r="J116" s="15" t="n"/>
      <c r="K116" s="19">
        <f>IF($A116="","",IFERROR(INDEX(学校マスタ!$G$2:$G$71,MATCH($A116,学校マスタ!$A$2:$A$71,0)),""))</f>
        <v/>
      </c>
      <c r="L116" s="17">
        <f>IF(OR($A116="",$H116="",$J116=""),"",IF($K116="なし",0,$H116-$J116))</f>
        <v/>
      </c>
      <c r="M116" s="16" t="n"/>
      <c r="N116" s="17">
        <f>IFERROR($L116*$M116,"")</f>
        <v/>
      </c>
      <c r="O116" s="20">
        <f>IFERROR($L116/$H116,"")</f>
        <v/>
      </c>
      <c r="P116" s="19">
        <f>IF($A116="","",IFERROR(INDEX(学校マスタ!$F$2:$F$71,MATCH($A116,学校マスタ!$A$2:$A$71,0)),""))</f>
        <v/>
      </c>
    </row>
    <row r="117">
      <c r="A117" s="6" t="n"/>
      <c r="B117" s="6" t="n"/>
      <c r="C117" s="6" t="n"/>
      <c r="D117" s="15" t="n"/>
      <c r="E117" s="15" t="n"/>
      <c r="F117" s="16" t="n"/>
      <c r="G117" s="17">
        <f>IFERROR($D117*$F117,"")</f>
        <v/>
      </c>
      <c r="H117" s="15" t="n"/>
      <c r="I117" s="18">
        <f>IFERROR($H117/$D117-1,"")</f>
        <v/>
      </c>
      <c r="J117" s="15" t="n"/>
      <c r="K117" s="19">
        <f>IF($A117="","",IFERROR(INDEX(学校マスタ!$G$2:$G$71,MATCH($A117,学校マスタ!$A$2:$A$71,0)),""))</f>
        <v/>
      </c>
      <c r="L117" s="17">
        <f>IF(OR($A117="",$H117="",$J117=""),"",IF($K117="なし",0,$H117-$J117))</f>
        <v/>
      </c>
      <c r="M117" s="16" t="n"/>
      <c r="N117" s="17">
        <f>IFERROR($L117*$M117,"")</f>
        <v/>
      </c>
      <c r="O117" s="20">
        <f>IFERROR($L117/$H117,"")</f>
        <v/>
      </c>
      <c r="P117" s="19">
        <f>IF($A117="","",IFERROR(INDEX(学校マスタ!$F$2:$F$71,MATCH($A117,学校マスタ!$A$2:$A$71,0)),""))</f>
        <v/>
      </c>
    </row>
    <row r="118">
      <c r="A118" s="6" t="n"/>
      <c r="B118" s="6" t="n"/>
      <c r="C118" s="6" t="n"/>
      <c r="D118" s="15" t="n"/>
      <c r="E118" s="15" t="n"/>
      <c r="F118" s="16" t="n"/>
      <c r="G118" s="17">
        <f>IFERROR($D118*$F118,"")</f>
        <v/>
      </c>
      <c r="H118" s="15" t="n"/>
      <c r="I118" s="18">
        <f>IFERROR($H118/$D118-1,"")</f>
        <v/>
      </c>
      <c r="J118" s="15" t="n"/>
      <c r="K118" s="19">
        <f>IF($A118="","",IFERROR(INDEX(学校マスタ!$G$2:$G$71,MATCH($A118,学校マスタ!$A$2:$A$71,0)),""))</f>
        <v/>
      </c>
      <c r="L118" s="17">
        <f>IF(OR($A118="",$H118="",$J118=""),"",IF($K118="なし",0,$H118-$J118))</f>
        <v/>
      </c>
      <c r="M118" s="16" t="n"/>
      <c r="N118" s="17">
        <f>IFERROR($L118*$M118,"")</f>
        <v/>
      </c>
      <c r="O118" s="20">
        <f>IFERROR($L118/$H118,"")</f>
        <v/>
      </c>
      <c r="P118" s="19">
        <f>IF($A118="","",IFERROR(INDEX(学校マスタ!$F$2:$F$71,MATCH($A118,学校マスタ!$A$2:$A$71,0)),""))</f>
        <v/>
      </c>
    </row>
    <row r="119">
      <c r="A119" s="6" t="n"/>
      <c r="B119" s="6" t="n"/>
      <c r="C119" s="6" t="n"/>
      <c r="D119" s="15" t="n"/>
      <c r="E119" s="15" t="n"/>
      <c r="F119" s="16" t="n"/>
      <c r="G119" s="17">
        <f>IFERROR($D119*$F119,"")</f>
        <v/>
      </c>
      <c r="H119" s="15" t="n"/>
      <c r="I119" s="18">
        <f>IFERROR($H119/$D119-1,"")</f>
        <v/>
      </c>
      <c r="J119" s="15" t="n"/>
      <c r="K119" s="19">
        <f>IF($A119="","",IFERROR(INDEX(学校マスタ!$G$2:$G$71,MATCH($A119,学校マスタ!$A$2:$A$71,0)),""))</f>
        <v/>
      </c>
      <c r="L119" s="17">
        <f>IF(OR($A119="",$H119="",$J119=""),"",IF($K119="なし",0,$H119-$J119))</f>
        <v/>
      </c>
      <c r="M119" s="16" t="n"/>
      <c r="N119" s="17">
        <f>IFERROR($L119*$M119,"")</f>
        <v/>
      </c>
      <c r="O119" s="20">
        <f>IFERROR($L119/$H119,"")</f>
        <v/>
      </c>
      <c r="P119" s="19">
        <f>IF($A119="","",IFERROR(INDEX(学校マスタ!$F$2:$F$71,MATCH($A119,学校マスタ!$A$2:$A$71,0)),""))</f>
        <v/>
      </c>
    </row>
    <row r="120">
      <c r="A120" s="6" t="n"/>
      <c r="B120" s="6" t="n"/>
      <c r="C120" s="6" t="n"/>
      <c r="D120" s="15" t="n"/>
      <c r="E120" s="15" t="n"/>
      <c r="F120" s="16" t="n"/>
      <c r="G120" s="17">
        <f>IFERROR($D120*$F120,"")</f>
        <v/>
      </c>
      <c r="H120" s="15" t="n"/>
      <c r="I120" s="18">
        <f>IFERROR($H120/$D120-1,"")</f>
        <v/>
      </c>
      <c r="J120" s="15" t="n"/>
      <c r="K120" s="19">
        <f>IF($A120="","",IFERROR(INDEX(学校マスタ!$G$2:$G$71,MATCH($A120,学校マスタ!$A$2:$A$71,0)),""))</f>
        <v/>
      </c>
      <c r="L120" s="17">
        <f>IF(OR($A120="",$H120="",$J120=""),"",IF($K120="なし",0,$H120-$J120))</f>
        <v/>
      </c>
      <c r="M120" s="16" t="n"/>
      <c r="N120" s="17">
        <f>IFERROR($L120*$M120,"")</f>
        <v/>
      </c>
      <c r="O120" s="20">
        <f>IFERROR($L120/$H120,"")</f>
        <v/>
      </c>
      <c r="P120" s="19">
        <f>IF($A120="","",IFERROR(INDEX(学校マスタ!$F$2:$F$71,MATCH($A120,学校マスタ!$A$2:$A$71,0)),""))</f>
        <v/>
      </c>
    </row>
    <row r="121">
      <c r="A121" s="6" t="n"/>
      <c r="B121" s="6" t="n"/>
      <c r="C121" s="6" t="n"/>
      <c r="D121" s="15" t="n"/>
      <c r="E121" s="15" t="n"/>
      <c r="F121" s="16" t="n"/>
      <c r="G121" s="17">
        <f>IFERROR($D121*$F121,"")</f>
        <v/>
      </c>
      <c r="H121" s="15" t="n"/>
      <c r="I121" s="18">
        <f>IFERROR($H121/$D121-1,"")</f>
        <v/>
      </c>
      <c r="J121" s="15" t="n"/>
      <c r="K121" s="19">
        <f>IF($A121="","",IFERROR(INDEX(学校マスタ!$G$2:$G$71,MATCH($A121,学校マスタ!$A$2:$A$71,0)),""))</f>
        <v/>
      </c>
      <c r="L121" s="17">
        <f>IF(OR($A121="",$H121="",$J121=""),"",IF($K121="なし",0,$H121-$J121))</f>
        <v/>
      </c>
      <c r="M121" s="16" t="n"/>
      <c r="N121" s="17">
        <f>IFERROR($L121*$M121,"")</f>
        <v/>
      </c>
      <c r="O121" s="20">
        <f>IFERROR($L121/$H121,"")</f>
        <v/>
      </c>
      <c r="P121" s="19">
        <f>IF($A121="","",IFERROR(INDEX(学校マスタ!$F$2:$F$71,MATCH($A121,学校マスタ!$A$2:$A$71,0)),""))</f>
        <v/>
      </c>
    </row>
    <row r="122">
      <c r="A122" s="6" t="n"/>
      <c r="B122" s="6" t="n"/>
      <c r="C122" s="6" t="n"/>
      <c r="D122" s="15" t="n"/>
      <c r="E122" s="15" t="n"/>
      <c r="F122" s="16" t="n"/>
      <c r="G122" s="17">
        <f>IFERROR($D122*$F122,"")</f>
        <v/>
      </c>
      <c r="H122" s="15" t="n"/>
      <c r="I122" s="18">
        <f>IFERROR($H122/$D122-1,"")</f>
        <v/>
      </c>
      <c r="J122" s="15" t="n"/>
      <c r="K122" s="19">
        <f>IF($A122="","",IFERROR(INDEX(学校マスタ!$G$2:$G$71,MATCH($A122,学校マスタ!$A$2:$A$71,0)),""))</f>
        <v/>
      </c>
      <c r="L122" s="17">
        <f>IF(OR($A122="",$H122="",$J122=""),"",IF($K122="なし",0,$H122-$J122))</f>
        <v/>
      </c>
      <c r="M122" s="16" t="n"/>
      <c r="N122" s="17">
        <f>IFERROR($L122*$M122,"")</f>
        <v/>
      </c>
      <c r="O122" s="20">
        <f>IFERROR($L122/$H122,"")</f>
        <v/>
      </c>
      <c r="P122" s="19">
        <f>IF($A122="","",IFERROR(INDEX(学校マスタ!$F$2:$F$71,MATCH($A122,学校マスタ!$A$2:$A$71,0)),""))</f>
        <v/>
      </c>
    </row>
    <row r="123">
      <c r="A123" s="6" t="n"/>
      <c r="B123" s="6" t="n"/>
      <c r="C123" s="6" t="n"/>
      <c r="D123" s="15" t="n"/>
      <c r="E123" s="15" t="n"/>
      <c r="F123" s="16" t="n"/>
      <c r="G123" s="17">
        <f>IFERROR($D123*$F123,"")</f>
        <v/>
      </c>
      <c r="H123" s="15" t="n"/>
      <c r="I123" s="18">
        <f>IFERROR($H123/$D123-1,"")</f>
        <v/>
      </c>
      <c r="J123" s="15" t="n"/>
      <c r="K123" s="19">
        <f>IF($A123="","",IFERROR(INDEX(学校マスタ!$G$2:$G$71,MATCH($A123,学校マスタ!$A$2:$A$71,0)),""))</f>
        <v/>
      </c>
      <c r="L123" s="17">
        <f>IF(OR($A123="",$H123="",$J123=""),"",IF($K123="なし",0,$H123-$J123))</f>
        <v/>
      </c>
      <c r="M123" s="16" t="n"/>
      <c r="N123" s="17">
        <f>IFERROR($L123*$M123,"")</f>
        <v/>
      </c>
      <c r="O123" s="20">
        <f>IFERROR($L123/$H123,"")</f>
        <v/>
      </c>
      <c r="P123" s="19">
        <f>IF($A123="","",IFERROR(INDEX(学校マスタ!$F$2:$F$71,MATCH($A123,学校マスタ!$A$2:$A$71,0)),""))</f>
        <v/>
      </c>
    </row>
    <row r="124">
      <c r="A124" s="6" t="n"/>
      <c r="B124" s="6" t="n"/>
      <c r="C124" s="6" t="n"/>
      <c r="D124" s="15" t="n"/>
      <c r="E124" s="15" t="n"/>
      <c r="F124" s="16" t="n"/>
      <c r="G124" s="17">
        <f>IFERROR($D124*$F124,"")</f>
        <v/>
      </c>
      <c r="H124" s="15" t="n"/>
      <c r="I124" s="18">
        <f>IFERROR($H124/$D124-1,"")</f>
        <v/>
      </c>
      <c r="J124" s="15" t="n"/>
      <c r="K124" s="19">
        <f>IF($A124="","",IFERROR(INDEX(学校マスタ!$G$2:$G$71,MATCH($A124,学校マスタ!$A$2:$A$71,0)),""))</f>
        <v/>
      </c>
      <c r="L124" s="17">
        <f>IF(OR($A124="",$H124="",$J124=""),"",IF($K124="なし",0,$H124-$J124))</f>
        <v/>
      </c>
      <c r="M124" s="16" t="n"/>
      <c r="N124" s="17">
        <f>IFERROR($L124*$M124,"")</f>
        <v/>
      </c>
      <c r="O124" s="20">
        <f>IFERROR($L124/$H124,"")</f>
        <v/>
      </c>
      <c r="P124" s="19">
        <f>IF($A124="","",IFERROR(INDEX(学校マスタ!$F$2:$F$71,MATCH($A124,学校マスタ!$A$2:$A$71,0)),""))</f>
        <v/>
      </c>
    </row>
    <row r="125">
      <c r="A125" s="6" t="n"/>
      <c r="B125" s="6" t="n"/>
      <c r="C125" s="6" t="n"/>
      <c r="D125" s="15" t="n"/>
      <c r="E125" s="15" t="n"/>
      <c r="F125" s="16" t="n"/>
      <c r="G125" s="17">
        <f>IFERROR($D125*$F125,"")</f>
        <v/>
      </c>
      <c r="H125" s="15" t="n"/>
      <c r="I125" s="18">
        <f>IFERROR($H125/$D125-1,"")</f>
        <v/>
      </c>
      <c r="J125" s="15" t="n"/>
      <c r="K125" s="19">
        <f>IF($A125="","",IFERROR(INDEX(学校マスタ!$G$2:$G$71,MATCH($A125,学校マスタ!$A$2:$A$71,0)),""))</f>
        <v/>
      </c>
      <c r="L125" s="17">
        <f>IF(OR($A125="",$H125="",$J125=""),"",IF($K125="なし",0,$H125-$J125))</f>
        <v/>
      </c>
      <c r="M125" s="16" t="n"/>
      <c r="N125" s="17">
        <f>IFERROR($L125*$M125,"")</f>
        <v/>
      </c>
      <c r="O125" s="20">
        <f>IFERROR($L125/$H125,"")</f>
        <v/>
      </c>
      <c r="P125" s="19">
        <f>IF($A125="","",IFERROR(INDEX(学校マスタ!$F$2:$F$71,MATCH($A125,学校マスタ!$A$2:$A$71,0)),""))</f>
        <v/>
      </c>
    </row>
    <row r="126">
      <c r="A126" s="6" t="n"/>
      <c r="B126" s="6" t="n"/>
      <c r="C126" s="6" t="n"/>
      <c r="D126" s="15" t="n"/>
      <c r="E126" s="15" t="n"/>
      <c r="F126" s="16" t="n"/>
      <c r="G126" s="17">
        <f>IFERROR($D126*$F126,"")</f>
        <v/>
      </c>
      <c r="H126" s="15" t="n"/>
      <c r="I126" s="18">
        <f>IFERROR($H126/$D126-1,"")</f>
        <v/>
      </c>
      <c r="J126" s="15" t="n"/>
      <c r="K126" s="19">
        <f>IF($A126="","",IFERROR(INDEX(学校マスタ!$G$2:$G$71,MATCH($A126,学校マスタ!$A$2:$A$71,0)),""))</f>
        <v/>
      </c>
      <c r="L126" s="17">
        <f>IF(OR($A126="",$H126="",$J126=""),"",IF($K126="なし",0,$H126-$J126))</f>
        <v/>
      </c>
      <c r="M126" s="16" t="n"/>
      <c r="N126" s="17">
        <f>IFERROR($L126*$M126,"")</f>
        <v/>
      </c>
      <c r="O126" s="20">
        <f>IFERROR($L126/$H126,"")</f>
        <v/>
      </c>
      <c r="P126" s="19">
        <f>IF($A126="","",IFERROR(INDEX(学校マスタ!$F$2:$F$71,MATCH($A126,学校マスタ!$A$2:$A$71,0)),""))</f>
        <v/>
      </c>
    </row>
    <row r="127">
      <c r="A127" s="6" t="n"/>
      <c r="B127" s="6" t="n"/>
      <c r="C127" s="6" t="n"/>
      <c r="D127" s="15" t="n"/>
      <c r="E127" s="15" t="n"/>
      <c r="F127" s="16" t="n"/>
      <c r="G127" s="17">
        <f>IFERROR($D127*$F127,"")</f>
        <v/>
      </c>
      <c r="H127" s="15" t="n"/>
      <c r="I127" s="18">
        <f>IFERROR($H127/$D127-1,"")</f>
        <v/>
      </c>
      <c r="J127" s="15" t="n"/>
      <c r="K127" s="19">
        <f>IF($A127="","",IFERROR(INDEX(学校マスタ!$G$2:$G$71,MATCH($A127,学校マスタ!$A$2:$A$71,0)),""))</f>
        <v/>
      </c>
      <c r="L127" s="17">
        <f>IF(OR($A127="",$H127="",$J127=""),"",IF($K127="なし",0,$H127-$J127))</f>
        <v/>
      </c>
      <c r="M127" s="16" t="n"/>
      <c r="N127" s="17">
        <f>IFERROR($L127*$M127,"")</f>
        <v/>
      </c>
      <c r="O127" s="20">
        <f>IFERROR($L127/$H127,"")</f>
        <v/>
      </c>
      <c r="P127" s="19">
        <f>IF($A127="","",IFERROR(INDEX(学校マスタ!$F$2:$F$71,MATCH($A127,学校マスタ!$A$2:$A$71,0)),""))</f>
        <v/>
      </c>
    </row>
    <row r="128">
      <c r="A128" s="6" t="n"/>
      <c r="B128" s="6" t="n"/>
      <c r="C128" s="6" t="n"/>
      <c r="D128" s="15" t="n"/>
      <c r="E128" s="15" t="n"/>
      <c r="F128" s="16" t="n"/>
      <c r="G128" s="17">
        <f>IFERROR($D128*$F128,"")</f>
        <v/>
      </c>
      <c r="H128" s="15" t="n"/>
      <c r="I128" s="18">
        <f>IFERROR($H128/$D128-1,"")</f>
        <v/>
      </c>
      <c r="J128" s="15" t="n"/>
      <c r="K128" s="19">
        <f>IF($A128="","",IFERROR(INDEX(学校マスタ!$G$2:$G$71,MATCH($A128,学校マスタ!$A$2:$A$71,0)),""))</f>
        <v/>
      </c>
      <c r="L128" s="17">
        <f>IF(OR($A128="",$H128="",$J128=""),"",IF($K128="なし",0,$H128-$J128))</f>
        <v/>
      </c>
      <c r="M128" s="16" t="n"/>
      <c r="N128" s="17">
        <f>IFERROR($L128*$M128,"")</f>
        <v/>
      </c>
      <c r="O128" s="20">
        <f>IFERROR($L128/$H128,"")</f>
        <v/>
      </c>
      <c r="P128" s="19">
        <f>IF($A128="","",IFERROR(INDEX(学校マスタ!$F$2:$F$71,MATCH($A128,学校マスタ!$A$2:$A$71,0)),""))</f>
        <v/>
      </c>
    </row>
    <row r="129">
      <c r="A129" s="6" t="n"/>
      <c r="B129" s="6" t="n"/>
      <c r="C129" s="6" t="n"/>
      <c r="D129" s="15" t="n"/>
      <c r="E129" s="15" t="n"/>
      <c r="F129" s="16" t="n"/>
      <c r="G129" s="17">
        <f>IFERROR($D129*$F129,"")</f>
        <v/>
      </c>
      <c r="H129" s="15" t="n"/>
      <c r="I129" s="18">
        <f>IFERROR($H129/$D129-1,"")</f>
        <v/>
      </c>
      <c r="J129" s="15" t="n"/>
      <c r="K129" s="19">
        <f>IF($A129="","",IFERROR(INDEX(学校マスタ!$G$2:$G$71,MATCH($A129,学校マスタ!$A$2:$A$71,0)),""))</f>
        <v/>
      </c>
      <c r="L129" s="17">
        <f>IF(OR($A129="",$H129="",$J129=""),"",IF($K129="なし",0,$H129-$J129))</f>
        <v/>
      </c>
      <c r="M129" s="16" t="n"/>
      <c r="N129" s="17">
        <f>IFERROR($L129*$M129,"")</f>
        <v/>
      </c>
      <c r="O129" s="20">
        <f>IFERROR($L129/$H129,"")</f>
        <v/>
      </c>
      <c r="P129" s="19">
        <f>IF($A129="","",IFERROR(INDEX(学校マスタ!$F$2:$F$71,MATCH($A129,学校マスタ!$A$2:$A$71,0)),""))</f>
        <v/>
      </c>
    </row>
    <row r="130">
      <c r="A130" s="6" t="n"/>
      <c r="B130" s="6" t="n"/>
      <c r="C130" s="6" t="n"/>
      <c r="D130" s="15" t="n"/>
      <c r="E130" s="15" t="n"/>
      <c r="F130" s="16" t="n"/>
      <c r="G130" s="17">
        <f>IFERROR($D130*$F130,"")</f>
        <v/>
      </c>
      <c r="H130" s="15" t="n"/>
      <c r="I130" s="18">
        <f>IFERROR($H130/$D130-1,"")</f>
        <v/>
      </c>
      <c r="J130" s="15" t="n"/>
      <c r="K130" s="19">
        <f>IF($A130="","",IFERROR(INDEX(学校マスタ!$G$2:$G$71,MATCH($A130,学校マスタ!$A$2:$A$71,0)),""))</f>
        <v/>
      </c>
      <c r="L130" s="17">
        <f>IF(OR($A130="",$H130="",$J130=""),"",IF($K130="なし",0,$H130-$J130))</f>
        <v/>
      </c>
      <c r="M130" s="16" t="n"/>
      <c r="N130" s="17">
        <f>IFERROR($L130*$M130,"")</f>
        <v/>
      </c>
      <c r="O130" s="20">
        <f>IFERROR($L130/$H130,"")</f>
        <v/>
      </c>
      <c r="P130" s="19">
        <f>IF($A130="","",IFERROR(INDEX(学校マスタ!$F$2:$F$71,MATCH($A130,学校マスタ!$A$2:$A$71,0)),""))</f>
        <v/>
      </c>
    </row>
    <row r="131">
      <c r="A131" s="6" t="n"/>
      <c r="B131" s="6" t="n"/>
      <c r="C131" s="6" t="n"/>
      <c r="D131" s="15" t="n"/>
      <c r="E131" s="15" t="n"/>
      <c r="F131" s="16" t="n"/>
      <c r="G131" s="17">
        <f>IFERROR($D131*$F131,"")</f>
        <v/>
      </c>
      <c r="H131" s="15" t="n"/>
      <c r="I131" s="18">
        <f>IFERROR($H131/$D131-1,"")</f>
        <v/>
      </c>
      <c r="J131" s="15" t="n"/>
      <c r="K131" s="19">
        <f>IF($A131="","",IFERROR(INDEX(学校マスタ!$G$2:$G$71,MATCH($A131,学校マスタ!$A$2:$A$71,0)),""))</f>
        <v/>
      </c>
      <c r="L131" s="17">
        <f>IF(OR($A131="",$H131="",$J131=""),"",IF($K131="なし",0,$H131-$J131))</f>
        <v/>
      </c>
      <c r="M131" s="16" t="n"/>
      <c r="N131" s="17">
        <f>IFERROR($L131*$M131,"")</f>
        <v/>
      </c>
      <c r="O131" s="20">
        <f>IFERROR($L131/$H131,"")</f>
        <v/>
      </c>
      <c r="P131" s="19">
        <f>IF($A131="","",IFERROR(INDEX(学校マスタ!$F$2:$F$71,MATCH($A131,学校マスタ!$A$2:$A$71,0)),""))</f>
        <v/>
      </c>
    </row>
    <row r="132">
      <c r="A132" s="6" t="n"/>
      <c r="B132" s="6" t="n"/>
      <c r="C132" s="6" t="n"/>
      <c r="D132" s="15" t="n"/>
      <c r="E132" s="15" t="n"/>
      <c r="F132" s="16" t="n"/>
      <c r="G132" s="17">
        <f>IFERROR($D132*$F132,"")</f>
        <v/>
      </c>
      <c r="H132" s="15" t="n"/>
      <c r="I132" s="18">
        <f>IFERROR($H132/$D132-1,"")</f>
        <v/>
      </c>
      <c r="J132" s="15" t="n"/>
      <c r="K132" s="19">
        <f>IF($A132="","",IFERROR(INDEX(学校マスタ!$G$2:$G$71,MATCH($A132,学校マスタ!$A$2:$A$71,0)),""))</f>
        <v/>
      </c>
      <c r="L132" s="17">
        <f>IF(OR($A132="",$H132="",$J132=""),"",IF($K132="なし",0,$H132-$J132))</f>
        <v/>
      </c>
      <c r="M132" s="16" t="n"/>
      <c r="N132" s="17">
        <f>IFERROR($L132*$M132,"")</f>
        <v/>
      </c>
      <c r="O132" s="20">
        <f>IFERROR($L132/$H132,"")</f>
        <v/>
      </c>
      <c r="P132" s="19">
        <f>IF($A132="","",IFERROR(INDEX(学校マスタ!$F$2:$F$71,MATCH($A132,学校マスタ!$A$2:$A$71,0)),""))</f>
        <v/>
      </c>
    </row>
    <row r="133">
      <c r="A133" s="6" t="n"/>
      <c r="B133" s="6" t="n"/>
      <c r="C133" s="6" t="n"/>
      <c r="D133" s="15" t="n"/>
      <c r="E133" s="15" t="n"/>
      <c r="F133" s="16" t="n"/>
      <c r="G133" s="17">
        <f>IFERROR($D133*$F133,"")</f>
        <v/>
      </c>
      <c r="H133" s="15" t="n"/>
      <c r="I133" s="18">
        <f>IFERROR($H133/$D133-1,"")</f>
        <v/>
      </c>
      <c r="J133" s="15" t="n"/>
      <c r="K133" s="19">
        <f>IF($A133="","",IFERROR(INDEX(学校マスタ!$G$2:$G$71,MATCH($A133,学校マスタ!$A$2:$A$71,0)),""))</f>
        <v/>
      </c>
      <c r="L133" s="17">
        <f>IF(OR($A133="",$H133="",$J133=""),"",IF($K133="なし",0,$H133-$J133))</f>
        <v/>
      </c>
      <c r="M133" s="16" t="n"/>
      <c r="N133" s="17">
        <f>IFERROR($L133*$M133,"")</f>
        <v/>
      </c>
      <c r="O133" s="20">
        <f>IFERROR($L133/$H133,"")</f>
        <v/>
      </c>
      <c r="P133" s="19">
        <f>IF($A133="","",IFERROR(INDEX(学校マスタ!$F$2:$F$71,MATCH($A133,学校マスタ!$A$2:$A$71,0)),""))</f>
        <v/>
      </c>
    </row>
    <row r="134">
      <c r="A134" s="6" t="n"/>
      <c r="B134" s="6" t="n"/>
      <c r="C134" s="6" t="n"/>
      <c r="D134" s="15" t="n"/>
      <c r="E134" s="15" t="n"/>
      <c r="F134" s="16" t="n"/>
      <c r="G134" s="17">
        <f>IFERROR($D134*$F134,"")</f>
        <v/>
      </c>
      <c r="H134" s="15" t="n"/>
      <c r="I134" s="18">
        <f>IFERROR($H134/$D134-1,"")</f>
        <v/>
      </c>
      <c r="J134" s="15" t="n"/>
      <c r="K134" s="19">
        <f>IF($A134="","",IFERROR(INDEX(学校マスタ!$G$2:$G$71,MATCH($A134,学校マスタ!$A$2:$A$71,0)),""))</f>
        <v/>
      </c>
      <c r="L134" s="17">
        <f>IF(OR($A134="",$H134="",$J134=""),"",IF($K134="なし",0,$H134-$J134))</f>
        <v/>
      </c>
      <c r="M134" s="16" t="n"/>
      <c r="N134" s="17">
        <f>IFERROR($L134*$M134,"")</f>
        <v/>
      </c>
      <c r="O134" s="20">
        <f>IFERROR($L134/$H134,"")</f>
        <v/>
      </c>
      <c r="P134" s="19">
        <f>IF($A134="","",IFERROR(INDEX(学校マスタ!$F$2:$F$71,MATCH($A134,学校マスタ!$A$2:$A$71,0)),""))</f>
        <v/>
      </c>
    </row>
    <row r="135">
      <c r="A135" s="6" t="n"/>
      <c r="B135" s="6" t="n"/>
      <c r="C135" s="6" t="n"/>
      <c r="D135" s="15" t="n"/>
      <c r="E135" s="15" t="n"/>
      <c r="F135" s="16" t="n"/>
      <c r="G135" s="17">
        <f>IFERROR($D135*$F135,"")</f>
        <v/>
      </c>
      <c r="H135" s="15" t="n"/>
      <c r="I135" s="18">
        <f>IFERROR($H135/$D135-1,"")</f>
        <v/>
      </c>
      <c r="J135" s="15" t="n"/>
      <c r="K135" s="19">
        <f>IF($A135="","",IFERROR(INDEX(学校マスタ!$G$2:$G$71,MATCH($A135,学校マスタ!$A$2:$A$71,0)),""))</f>
        <v/>
      </c>
      <c r="L135" s="17">
        <f>IF(OR($A135="",$H135="",$J135=""),"",IF($K135="なし",0,$H135-$J135))</f>
        <v/>
      </c>
      <c r="M135" s="16" t="n"/>
      <c r="N135" s="17">
        <f>IFERROR($L135*$M135,"")</f>
        <v/>
      </c>
      <c r="O135" s="20">
        <f>IFERROR($L135/$H135,"")</f>
        <v/>
      </c>
      <c r="P135" s="19">
        <f>IF($A135="","",IFERROR(INDEX(学校マスタ!$F$2:$F$71,MATCH($A135,学校マスタ!$A$2:$A$71,0)),""))</f>
        <v/>
      </c>
    </row>
    <row r="136">
      <c r="A136" s="6" t="n"/>
      <c r="B136" s="6" t="n"/>
      <c r="C136" s="6" t="n"/>
      <c r="D136" s="15" t="n"/>
      <c r="E136" s="15" t="n"/>
      <c r="F136" s="16" t="n"/>
      <c r="G136" s="17">
        <f>IFERROR($D136*$F136,"")</f>
        <v/>
      </c>
      <c r="H136" s="15" t="n"/>
      <c r="I136" s="18">
        <f>IFERROR($H136/$D136-1,"")</f>
        <v/>
      </c>
      <c r="J136" s="15" t="n"/>
      <c r="K136" s="19">
        <f>IF($A136="","",IFERROR(INDEX(学校マスタ!$G$2:$G$71,MATCH($A136,学校マスタ!$A$2:$A$71,0)),""))</f>
        <v/>
      </c>
      <c r="L136" s="17">
        <f>IF(OR($A136="",$H136="",$J136=""),"",IF($K136="なし",0,$H136-$J136))</f>
        <v/>
      </c>
      <c r="M136" s="16" t="n"/>
      <c r="N136" s="17">
        <f>IFERROR($L136*$M136,"")</f>
        <v/>
      </c>
      <c r="O136" s="20">
        <f>IFERROR($L136/$H136,"")</f>
        <v/>
      </c>
      <c r="P136" s="19">
        <f>IF($A136="","",IFERROR(INDEX(学校マスタ!$F$2:$F$71,MATCH($A136,学校マスタ!$A$2:$A$71,0)),""))</f>
        <v/>
      </c>
    </row>
    <row r="137">
      <c r="A137" s="6" t="n"/>
      <c r="B137" s="6" t="n"/>
      <c r="C137" s="6" t="n"/>
      <c r="D137" s="15" t="n"/>
      <c r="E137" s="15" t="n"/>
      <c r="F137" s="16" t="n"/>
      <c r="G137" s="17">
        <f>IFERROR($D137*$F137,"")</f>
        <v/>
      </c>
      <c r="H137" s="15" t="n"/>
      <c r="I137" s="18">
        <f>IFERROR($H137/$D137-1,"")</f>
        <v/>
      </c>
      <c r="J137" s="15" t="n"/>
      <c r="K137" s="19">
        <f>IF($A137="","",IFERROR(INDEX(学校マスタ!$G$2:$G$71,MATCH($A137,学校マスタ!$A$2:$A$71,0)),""))</f>
        <v/>
      </c>
      <c r="L137" s="17">
        <f>IF(OR($A137="",$H137="",$J137=""),"",IF($K137="なし",0,$H137-$J137))</f>
        <v/>
      </c>
      <c r="M137" s="16" t="n"/>
      <c r="N137" s="17">
        <f>IFERROR($L137*$M137,"")</f>
        <v/>
      </c>
      <c r="O137" s="20">
        <f>IFERROR($L137/$H137,"")</f>
        <v/>
      </c>
      <c r="P137" s="19">
        <f>IF($A137="","",IFERROR(INDEX(学校マスタ!$F$2:$F$71,MATCH($A137,学校マスタ!$A$2:$A$71,0)),""))</f>
        <v/>
      </c>
    </row>
    <row r="138">
      <c r="A138" s="6" t="n"/>
      <c r="B138" s="6" t="n"/>
      <c r="C138" s="6" t="n"/>
      <c r="D138" s="15" t="n"/>
      <c r="E138" s="15" t="n"/>
      <c r="F138" s="16" t="n"/>
      <c r="G138" s="17">
        <f>IFERROR($D138*$F138,"")</f>
        <v/>
      </c>
      <c r="H138" s="15" t="n"/>
      <c r="I138" s="18">
        <f>IFERROR($H138/$D138-1,"")</f>
        <v/>
      </c>
      <c r="J138" s="15" t="n"/>
      <c r="K138" s="19">
        <f>IF($A138="","",IFERROR(INDEX(学校マスタ!$G$2:$G$71,MATCH($A138,学校マスタ!$A$2:$A$71,0)),""))</f>
        <v/>
      </c>
      <c r="L138" s="17">
        <f>IF(OR($A138="",$H138="",$J138=""),"",IF($K138="なし",0,$H138-$J138))</f>
        <v/>
      </c>
      <c r="M138" s="16" t="n"/>
      <c r="N138" s="17">
        <f>IFERROR($L138*$M138,"")</f>
        <v/>
      </c>
      <c r="O138" s="20">
        <f>IFERROR($L138/$H138,"")</f>
        <v/>
      </c>
      <c r="P138" s="19">
        <f>IF($A138="","",IFERROR(INDEX(学校マスタ!$F$2:$F$71,MATCH($A138,学校マスタ!$A$2:$A$71,0)),""))</f>
        <v/>
      </c>
    </row>
    <row r="139">
      <c r="A139" s="6" t="n"/>
      <c r="B139" s="6" t="n"/>
      <c r="C139" s="6" t="n"/>
      <c r="D139" s="15" t="n"/>
      <c r="E139" s="15" t="n"/>
      <c r="F139" s="16" t="n"/>
      <c r="G139" s="17">
        <f>IFERROR($D139*$F139,"")</f>
        <v/>
      </c>
      <c r="H139" s="15" t="n"/>
      <c r="I139" s="18">
        <f>IFERROR($H139/$D139-1,"")</f>
        <v/>
      </c>
      <c r="J139" s="15" t="n"/>
      <c r="K139" s="19">
        <f>IF($A139="","",IFERROR(INDEX(学校マスタ!$G$2:$G$71,MATCH($A139,学校マスタ!$A$2:$A$71,0)),""))</f>
        <v/>
      </c>
      <c r="L139" s="17">
        <f>IF(OR($A139="",$H139="",$J139=""),"",IF($K139="なし",0,$H139-$J139))</f>
        <v/>
      </c>
      <c r="M139" s="16" t="n"/>
      <c r="N139" s="17">
        <f>IFERROR($L139*$M139,"")</f>
        <v/>
      </c>
      <c r="O139" s="20">
        <f>IFERROR($L139/$H139,"")</f>
        <v/>
      </c>
      <c r="P139" s="19">
        <f>IF($A139="","",IFERROR(INDEX(学校マスタ!$F$2:$F$71,MATCH($A139,学校マスタ!$A$2:$A$71,0)),""))</f>
        <v/>
      </c>
    </row>
    <row r="140">
      <c r="A140" s="6" t="n"/>
      <c r="B140" s="6" t="n"/>
      <c r="C140" s="6" t="n"/>
      <c r="D140" s="15" t="n"/>
      <c r="E140" s="15" t="n"/>
      <c r="F140" s="16" t="n"/>
      <c r="G140" s="17">
        <f>IFERROR($D140*$F140,"")</f>
        <v/>
      </c>
      <c r="H140" s="15" t="n"/>
      <c r="I140" s="18">
        <f>IFERROR($H140/$D140-1,"")</f>
        <v/>
      </c>
      <c r="J140" s="15" t="n"/>
      <c r="K140" s="19">
        <f>IF($A140="","",IFERROR(INDEX(学校マスタ!$G$2:$G$71,MATCH($A140,学校マスタ!$A$2:$A$71,0)),""))</f>
        <v/>
      </c>
      <c r="L140" s="17">
        <f>IF(OR($A140="",$H140="",$J140=""),"",IF($K140="なし",0,$H140-$J140))</f>
        <v/>
      </c>
      <c r="M140" s="16" t="n"/>
      <c r="N140" s="17">
        <f>IFERROR($L140*$M140,"")</f>
        <v/>
      </c>
      <c r="O140" s="20">
        <f>IFERROR($L140/$H140,"")</f>
        <v/>
      </c>
      <c r="P140" s="19">
        <f>IF($A140="","",IFERROR(INDEX(学校マスタ!$F$2:$F$71,MATCH($A140,学校マスタ!$A$2:$A$71,0)),""))</f>
        <v/>
      </c>
    </row>
    <row r="141">
      <c r="A141" s="6" t="n"/>
      <c r="B141" s="6" t="n"/>
      <c r="C141" s="6" t="n"/>
      <c r="D141" s="15" t="n"/>
      <c r="E141" s="15" t="n"/>
      <c r="F141" s="16" t="n"/>
      <c r="G141" s="17">
        <f>IFERROR($D141*$F141,"")</f>
        <v/>
      </c>
      <c r="H141" s="15" t="n"/>
      <c r="I141" s="18">
        <f>IFERROR($H141/$D141-1,"")</f>
        <v/>
      </c>
      <c r="J141" s="15" t="n"/>
      <c r="K141" s="19">
        <f>IF($A141="","",IFERROR(INDEX(学校マスタ!$G$2:$G$71,MATCH($A141,学校マスタ!$A$2:$A$71,0)),""))</f>
        <v/>
      </c>
      <c r="L141" s="17">
        <f>IF(OR($A141="",$H141="",$J141=""),"",IF($K141="なし",0,$H141-$J141))</f>
        <v/>
      </c>
      <c r="M141" s="16" t="n"/>
      <c r="N141" s="17">
        <f>IFERROR($L141*$M141,"")</f>
        <v/>
      </c>
      <c r="O141" s="20">
        <f>IFERROR($L141/$H141,"")</f>
        <v/>
      </c>
      <c r="P141" s="19">
        <f>IF($A141="","",IFERROR(INDEX(学校マスタ!$F$2:$F$71,MATCH($A141,学校マスタ!$A$2:$A$71,0)),""))</f>
        <v/>
      </c>
    </row>
    <row r="142">
      <c r="A142" s="6" t="n"/>
      <c r="B142" s="6" t="n"/>
      <c r="C142" s="6" t="n"/>
      <c r="D142" s="15" t="n"/>
      <c r="E142" s="15" t="n"/>
      <c r="F142" s="16" t="n"/>
      <c r="G142" s="17">
        <f>IFERROR($D142*$F142,"")</f>
        <v/>
      </c>
      <c r="H142" s="15" t="n"/>
      <c r="I142" s="18">
        <f>IFERROR($H142/$D142-1,"")</f>
        <v/>
      </c>
      <c r="J142" s="15" t="n"/>
      <c r="K142" s="19">
        <f>IF($A142="","",IFERROR(INDEX(学校マスタ!$G$2:$G$71,MATCH($A142,学校マスタ!$A$2:$A$71,0)),""))</f>
        <v/>
      </c>
      <c r="L142" s="17">
        <f>IF(OR($A142="",$H142="",$J142=""),"",IF($K142="なし",0,$H142-$J142))</f>
        <v/>
      </c>
      <c r="M142" s="16" t="n"/>
      <c r="N142" s="17">
        <f>IFERROR($L142*$M142,"")</f>
        <v/>
      </c>
      <c r="O142" s="20">
        <f>IFERROR($L142/$H142,"")</f>
        <v/>
      </c>
      <c r="P142" s="19">
        <f>IF($A142="","",IFERROR(INDEX(学校マスタ!$F$2:$F$71,MATCH($A142,学校マスタ!$A$2:$A$71,0)),""))</f>
        <v/>
      </c>
    </row>
    <row r="143">
      <c r="A143" s="6" t="n"/>
      <c r="B143" s="6" t="n"/>
      <c r="C143" s="6" t="n"/>
      <c r="D143" s="15" t="n"/>
      <c r="E143" s="15" t="n"/>
      <c r="F143" s="16" t="n"/>
      <c r="G143" s="17">
        <f>IFERROR($D143*$F143,"")</f>
        <v/>
      </c>
      <c r="H143" s="15" t="n"/>
      <c r="I143" s="18">
        <f>IFERROR($H143/$D143-1,"")</f>
        <v/>
      </c>
      <c r="J143" s="15" t="n"/>
      <c r="K143" s="19">
        <f>IF($A143="","",IFERROR(INDEX(学校マスタ!$G$2:$G$71,MATCH($A143,学校マスタ!$A$2:$A$71,0)),""))</f>
        <v/>
      </c>
      <c r="L143" s="17">
        <f>IF(OR($A143="",$H143="",$J143=""),"",IF($K143="なし",0,$H143-$J143))</f>
        <v/>
      </c>
      <c r="M143" s="16" t="n"/>
      <c r="N143" s="17">
        <f>IFERROR($L143*$M143,"")</f>
        <v/>
      </c>
      <c r="O143" s="20">
        <f>IFERROR($L143/$H143,"")</f>
        <v/>
      </c>
      <c r="P143" s="19">
        <f>IF($A143="","",IFERROR(INDEX(学校マスタ!$F$2:$F$71,MATCH($A143,学校マスタ!$A$2:$A$71,0)),""))</f>
        <v/>
      </c>
    </row>
    <row r="144">
      <c r="A144" s="6" t="n"/>
      <c r="B144" s="6" t="n"/>
      <c r="C144" s="6" t="n"/>
      <c r="D144" s="15" t="n"/>
      <c r="E144" s="15" t="n"/>
      <c r="F144" s="16" t="n"/>
      <c r="G144" s="17">
        <f>IFERROR($D144*$F144,"")</f>
        <v/>
      </c>
      <c r="H144" s="15" t="n"/>
      <c r="I144" s="18">
        <f>IFERROR($H144/$D144-1,"")</f>
        <v/>
      </c>
      <c r="J144" s="15" t="n"/>
      <c r="K144" s="19">
        <f>IF($A144="","",IFERROR(INDEX(学校マスタ!$G$2:$G$71,MATCH($A144,学校マスタ!$A$2:$A$71,0)),""))</f>
        <v/>
      </c>
      <c r="L144" s="17">
        <f>IF(OR($A144="",$H144="",$J144=""),"",IF($K144="なし",0,$H144-$J144))</f>
        <v/>
      </c>
      <c r="M144" s="16" t="n"/>
      <c r="N144" s="17">
        <f>IFERROR($L144*$M144,"")</f>
        <v/>
      </c>
      <c r="O144" s="20">
        <f>IFERROR($L144/$H144,"")</f>
        <v/>
      </c>
      <c r="P144" s="19">
        <f>IF($A144="","",IFERROR(INDEX(学校マスタ!$F$2:$F$71,MATCH($A144,学校マスタ!$A$2:$A$71,0)),""))</f>
        <v/>
      </c>
    </row>
    <row r="145">
      <c r="A145" s="6" t="n"/>
      <c r="B145" s="6" t="n"/>
      <c r="C145" s="6" t="n"/>
      <c r="D145" s="15" t="n"/>
      <c r="E145" s="15" t="n"/>
      <c r="F145" s="16" t="n"/>
      <c r="G145" s="17">
        <f>IFERROR($D145*$F145,"")</f>
        <v/>
      </c>
      <c r="H145" s="15" t="n"/>
      <c r="I145" s="18">
        <f>IFERROR($H145/$D145-1,"")</f>
        <v/>
      </c>
      <c r="J145" s="15" t="n"/>
      <c r="K145" s="19">
        <f>IF($A145="","",IFERROR(INDEX(学校マスタ!$G$2:$G$71,MATCH($A145,学校マスタ!$A$2:$A$71,0)),""))</f>
        <v/>
      </c>
      <c r="L145" s="17">
        <f>IF(OR($A145="",$H145="",$J145=""),"",IF($K145="なし",0,$H145-$J145))</f>
        <v/>
      </c>
      <c r="M145" s="16" t="n"/>
      <c r="N145" s="17">
        <f>IFERROR($L145*$M145,"")</f>
        <v/>
      </c>
      <c r="O145" s="20">
        <f>IFERROR($L145/$H145,"")</f>
        <v/>
      </c>
      <c r="P145" s="19">
        <f>IF($A145="","",IFERROR(INDEX(学校マスタ!$F$2:$F$71,MATCH($A145,学校マスタ!$A$2:$A$71,0)),""))</f>
        <v/>
      </c>
    </row>
    <row r="146">
      <c r="A146" s="6" t="n"/>
      <c r="B146" s="6" t="n"/>
      <c r="C146" s="6" t="n"/>
      <c r="D146" s="15" t="n"/>
      <c r="E146" s="15" t="n"/>
      <c r="F146" s="16" t="n"/>
      <c r="G146" s="17">
        <f>IFERROR($D146*$F146,"")</f>
        <v/>
      </c>
      <c r="H146" s="15" t="n"/>
      <c r="I146" s="18">
        <f>IFERROR($H146/$D146-1,"")</f>
        <v/>
      </c>
      <c r="J146" s="15" t="n"/>
      <c r="K146" s="19">
        <f>IF($A146="","",IFERROR(INDEX(学校マスタ!$G$2:$G$71,MATCH($A146,学校マスタ!$A$2:$A$71,0)),""))</f>
        <v/>
      </c>
      <c r="L146" s="17">
        <f>IF(OR($A146="",$H146="",$J146=""),"",IF($K146="なし",0,$H146-$J146))</f>
        <v/>
      </c>
      <c r="M146" s="16" t="n"/>
      <c r="N146" s="17">
        <f>IFERROR($L146*$M146,"")</f>
        <v/>
      </c>
      <c r="O146" s="20">
        <f>IFERROR($L146/$H146,"")</f>
        <v/>
      </c>
      <c r="P146" s="19">
        <f>IF($A146="","",IFERROR(INDEX(学校マスタ!$F$2:$F$71,MATCH($A146,学校マスタ!$A$2:$A$71,0)),""))</f>
        <v/>
      </c>
    </row>
    <row r="147">
      <c r="A147" s="6" t="n"/>
      <c r="B147" s="6" t="n"/>
      <c r="C147" s="6" t="n"/>
      <c r="D147" s="15" t="n"/>
      <c r="E147" s="15" t="n"/>
      <c r="F147" s="16" t="n"/>
      <c r="G147" s="17">
        <f>IFERROR($D147*$F147,"")</f>
        <v/>
      </c>
      <c r="H147" s="15" t="n"/>
      <c r="I147" s="18">
        <f>IFERROR($H147/$D147-1,"")</f>
        <v/>
      </c>
      <c r="J147" s="15" t="n"/>
      <c r="K147" s="19">
        <f>IF($A147="","",IFERROR(INDEX(学校マスタ!$G$2:$G$71,MATCH($A147,学校マスタ!$A$2:$A$71,0)),""))</f>
        <v/>
      </c>
      <c r="L147" s="17">
        <f>IF(OR($A147="",$H147="",$J147=""),"",IF($K147="なし",0,$H147-$J147))</f>
        <v/>
      </c>
      <c r="M147" s="16" t="n"/>
      <c r="N147" s="17">
        <f>IFERROR($L147*$M147,"")</f>
        <v/>
      </c>
      <c r="O147" s="20">
        <f>IFERROR($L147/$H147,"")</f>
        <v/>
      </c>
      <c r="P147" s="19">
        <f>IF($A147="","",IFERROR(INDEX(学校マスタ!$F$2:$F$71,MATCH($A147,学校マスタ!$A$2:$A$71,0)),""))</f>
        <v/>
      </c>
    </row>
    <row r="148">
      <c r="A148" s="6" t="n"/>
      <c r="B148" s="6" t="n"/>
      <c r="C148" s="6" t="n"/>
      <c r="D148" s="15" t="n"/>
      <c r="E148" s="15" t="n"/>
      <c r="F148" s="16" t="n"/>
      <c r="G148" s="17">
        <f>IFERROR($D148*$F148,"")</f>
        <v/>
      </c>
      <c r="H148" s="15" t="n"/>
      <c r="I148" s="18">
        <f>IFERROR($H148/$D148-1,"")</f>
        <v/>
      </c>
      <c r="J148" s="15" t="n"/>
      <c r="K148" s="19">
        <f>IF($A148="","",IFERROR(INDEX(学校マスタ!$G$2:$G$71,MATCH($A148,学校マスタ!$A$2:$A$71,0)),""))</f>
        <v/>
      </c>
      <c r="L148" s="17">
        <f>IF(OR($A148="",$H148="",$J148=""),"",IF($K148="なし",0,$H148-$J148))</f>
        <v/>
      </c>
      <c r="M148" s="16" t="n"/>
      <c r="N148" s="17">
        <f>IFERROR($L148*$M148,"")</f>
        <v/>
      </c>
      <c r="O148" s="20">
        <f>IFERROR($L148/$H148,"")</f>
        <v/>
      </c>
      <c r="P148" s="19">
        <f>IF($A148="","",IFERROR(INDEX(学校マスタ!$F$2:$F$71,MATCH($A148,学校マスタ!$A$2:$A$71,0)),""))</f>
        <v/>
      </c>
    </row>
    <row r="149">
      <c r="A149" s="6" t="n"/>
      <c r="B149" s="6" t="n"/>
      <c r="C149" s="6" t="n"/>
      <c r="D149" s="15" t="n"/>
      <c r="E149" s="15" t="n"/>
      <c r="F149" s="16" t="n"/>
      <c r="G149" s="17">
        <f>IFERROR($D149*$F149,"")</f>
        <v/>
      </c>
      <c r="H149" s="15" t="n"/>
      <c r="I149" s="18">
        <f>IFERROR($H149/$D149-1,"")</f>
        <v/>
      </c>
      <c r="J149" s="15" t="n"/>
      <c r="K149" s="19">
        <f>IF($A149="","",IFERROR(INDEX(学校マスタ!$G$2:$G$71,MATCH($A149,学校マスタ!$A$2:$A$71,0)),""))</f>
        <v/>
      </c>
      <c r="L149" s="17">
        <f>IF(OR($A149="",$H149="",$J149=""),"",IF($K149="なし",0,$H149-$J149))</f>
        <v/>
      </c>
      <c r="M149" s="16" t="n"/>
      <c r="N149" s="17">
        <f>IFERROR($L149*$M149,"")</f>
        <v/>
      </c>
      <c r="O149" s="20">
        <f>IFERROR($L149/$H149,"")</f>
        <v/>
      </c>
      <c r="P149" s="19">
        <f>IF($A149="","",IFERROR(INDEX(学校マスタ!$F$2:$F$71,MATCH($A149,学校マスタ!$A$2:$A$71,0)),""))</f>
        <v/>
      </c>
    </row>
    <row r="150">
      <c r="A150" s="6" t="n"/>
      <c r="B150" s="6" t="n"/>
      <c r="C150" s="6" t="n"/>
      <c r="D150" s="15" t="n"/>
      <c r="E150" s="15" t="n"/>
      <c r="F150" s="16" t="n"/>
      <c r="G150" s="17">
        <f>IFERROR($D150*$F150,"")</f>
        <v/>
      </c>
      <c r="H150" s="15" t="n"/>
      <c r="I150" s="18">
        <f>IFERROR($H150/$D150-1,"")</f>
        <v/>
      </c>
      <c r="J150" s="15" t="n"/>
      <c r="K150" s="19">
        <f>IF($A150="","",IFERROR(INDEX(学校マスタ!$G$2:$G$71,MATCH($A150,学校マスタ!$A$2:$A$71,0)),""))</f>
        <v/>
      </c>
      <c r="L150" s="17">
        <f>IF(OR($A150="",$H150="",$J150=""),"",IF($K150="なし",0,$H150-$J150))</f>
        <v/>
      </c>
      <c r="M150" s="16" t="n"/>
      <c r="N150" s="17">
        <f>IFERROR($L150*$M150,"")</f>
        <v/>
      </c>
      <c r="O150" s="20">
        <f>IFERROR($L150/$H150,"")</f>
        <v/>
      </c>
      <c r="P150" s="19">
        <f>IF($A150="","",IFERROR(INDEX(学校マスタ!$F$2:$F$71,MATCH($A150,学校マスタ!$A$2:$A$71,0)),""))</f>
        <v/>
      </c>
    </row>
    <row r="151">
      <c r="A151" s="6" t="n"/>
      <c r="B151" s="6" t="n"/>
      <c r="C151" s="6" t="n"/>
      <c r="D151" s="15" t="n"/>
      <c r="E151" s="15" t="n"/>
      <c r="F151" s="16" t="n"/>
      <c r="G151" s="17">
        <f>IFERROR($D151*$F151,"")</f>
        <v/>
      </c>
      <c r="H151" s="15" t="n"/>
      <c r="I151" s="18">
        <f>IFERROR($H151/$D151-1,"")</f>
        <v/>
      </c>
      <c r="J151" s="15" t="n"/>
      <c r="K151" s="19">
        <f>IF($A151="","",IFERROR(INDEX(学校マスタ!$G$2:$G$71,MATCH($A151,学校マスタ!$A$2:$A$71,0)),""))</f>
        <v/>
      </c>
      <c r="L151" s="17">
        <f>IF(OR($A151="",$H151="",$J151=""),"",IF($K151="なし",0,$H151-$J151))</f>
        <v/>
      </c>
      <c r="M151" s="16" t="n"/>
      <c r="N151" s="17">
        <f>IFERROR($L151*$M151,"")</f>
        <v/>
      </c>
      <c r="O151" s="20">
        <f>IFERROR($L151/$H151,"")</f>
        <v/>
      </c>
      <c r="P151" s="19">
        <f>IF($A151="","",IFERROR(INDEX(学校マスタ!$F$2:$F$71,MATCH($A151,学校マスタ!$A$2:$A$71,0)),""))</f>
        <v/>
      </c>
    </row>
    <row r="152">
      <c r="A152" s="6" t="n"/>
      <c r="B152" s="6" t="n"/>
      <c r="C152" s="6" t="n"/>
      <c r="D152" s="15" t="n"/>
      <c r="E152" s="15" t="n"/>
      <c r="F152" s="16" t="n"/>
      <c r="G152" s="17">
        <f>IFERROR($D152*$F152,"")</f>
        <v/>
      </c>
      <c r="H152" s="15" t="n"/>
      <c r="I152" s="18">
        <f>IFERROR($H152/$D152-1,"")</f>
        <v/>
      </c>
      <c r="J152" s="15" t="n"/>
      <c r="K152" s="19">
        <f>IF($A152="","",IFERROR(INDEX(学校マスタ!$G$2:$G$71,MATCH($A152,学校マスタ!$A$2:$A$71,0)),""))</f>
        <v/>
      </c>
      <c r="L152" s="17">
        <f>IF(OR($A152="",$H152="",$J152=""),"",IF($K152="なし",0,$H152-$J152))</f>
        <v/>
      </c>
      <c r="M152" s="16" t="n"/>
      <c r="N152" s="17">
        <f>IFERROR($L152*$M152,"")</f>
        <v/>
      </c>
      <c r="O152" s="20">
        <f>IFERROR($L152/$H152,"")</f>
        <v/>
      </c>
      <c r="P152" s="19">
        <f>IF($A152="","",IFERROR(INDEX(学校マスタ!$F$2:$F$71,MATCH($A152,学校マスタ!$A$2:$A$71,0)),""))</f>
        <v/>
      </c>
    </row>
    <row r="153">
      <c r="A153" s="6" t="n"/>
      <c r="B153" s="6" t="n"/>
      <c r="C153" s="6" t="n"/>
      <c r="D153" s="15" t="n"/>
      <c r="E153" s="15" t="n"/>
      <c r="F153" s="16" t="n"/>
      <c r="G153" s="17">
        <f>IFERROR($D153*$F153,"")</f>
        <v/>
      </c>
      <c r="H153" s="15" t="n"/>
      <c r="I153" s="18">
        <f>IFERROR($H153/$D153-1,"")</f>
        <v/>
      </c>
      <c r="J153" s="15" t="n"/>
      <c r="K153" s="19">
        <f>IF($A153="","",IFERROR(INDEX(学校マスタ!$G$2:$G$71,MATCH($A153,学校マスタ!$A$2:$A$71,0)),""))</f>
        <v/>
      </c>
      <c r="L153" s="17">
        <f>IF(OR($A153="",$H153="",$J153=""),"",IF($K153="なし",0,$H153-$J153))</f>
        <v/>
      </c>
      <c r="M153" s="16" t="n"/>
      <c r="N153" s="17">
        <f>IFERROR($L153*$M153,"")</f>
        <v/>
      </c>
      <c r="O153" s="20">
        <f>IFERROR($L153/$H153,"")</f>
        <v/>
      </c>
      <c r="P153" s="19">
        <f>IF($A153="","",IFERROR(INDEX(学校マスタ!$F$2:$F$71,MATCH($A153,学校マスタ!$A$2:$A$71,0)),""))</f>
        <v/>
      </c>
    </row>
    <row r="154">
      <c r="A154" s="6" t="n"/>
      <c r="B154" s="6" t="n"/>
      <c r="C154" s="6" t="n"/>
      <c r="D154" s="15" t="n"/>
      <c r="E154" s="15" t="n"/>
      <c r="F154" s="16" t="n"/>
      <c r="G154" s="17">
        <f>IFERROR($D154*$F154,"")</f>
        <v/>
      </c>
      <c r="H154" s="15" t="n"/>
      <c r="I154" s="18">
        <f>IFERROR($H154/$D154-1,"")</f>
        <v/>
      </c>
      <c r="J154" s="15" t="n"/>
      <c r="K154" s="19">
        <f>IF($A154="","",IFERROR(INDEX(学校マスタ!$G$2:$G$71,MATCH($A154,学校マスタ!$A$2:$A$71,0)),""))</f>
        <v/>
      </c>
      <c r="L154" s="17">
        <f>IF(OR($A154="",$H154="",$J154=""),"",IF($K154="なし",0,$H154-$J154))</f>
        <v/>
      </c>
      <c r="M154" s="16" t="n"/>
      <c r="N154" s="17">
        <f>IFERROR($L154*$M154,"")</f>
        <v/>
      </c>
      <c r="O154" s="20">
        <f>IFERROR($L154/$H154,"")</f>
        <v/>
      </c>
      <c r="P154" s="19">
        <f>IF($A154="","",IFERROR(INDEX(学校マスタ!$F$2:$F$71,MATCH($A154,学校マスタ!$A$2:$A$71,0)),""))</f>
        <v/>
      </c>
    </row>
    <row r="155">
      <c r="A155" s="6" t="n"/>
      <c r="B155" s="6" t="n"/>
      <c r="C155" s="6" t="n"/>
      <c r="D155" s="15" t="n"/>
      <c r="E155" s="15" t="n"/>
      <c r="F155" s="16" t="n"/>
      <c r="G155" s="17">
        <f>IFERROR($D155*$F155,"")</f>
        <v/>
      </c>
      <c r="H155" s="15" t="n"/>
      <c r="I155" s="18">
        <f>IFERROR($H155/$D155-1,"")</f>
        <v/>
      </c>
      <c r="J155" s="15" t="n"/>
      <c r="K155" s="19">
        <f>IF($A155="","",IFERROR(INDEX(学校マスタ!$G$2:$G$71,MATCH($A155,学校マスタ!$A$2:$A$71,0)),""))</f>
        <v/>
      </c>
      <c r="L155" s="17">
        <f>IF(OR($A155="",$H155="",$J155=""),"",IF($K155="なし",0,$H155-$J155))</f>
        <v/>
      </c>
      <c r="M155" s="16" t="n"/>
      <c r="N155" s="17">
        <f>IFERROR($L155*$M155,"")</f>
        <v/>
      </c>
      <c r="O155" s="20">
        <f>IFERROR($L155/$H155,"")</f>
        <v/>
      </c>
      <c r="P155" s="19">
        <f>IF($A155="","",IFERROR(INDEX(学校マスタ!$F$2:$F$71,MATCH($A155,学校マスタ!$A$2:$A$71,0)),""))</f>
        <v/>
      </c>
    </row>
    <row r="156">
      <c r="A156" s="6" t="n"/>
      <c r="B156" s="6" t="n"/>
      <c r="C156" s="6" t="n"/>
      <c r="D156" s="15" t="n"/>
      <c r="E156" s="15" t="n"/>
      <c r="F156" s="16" t="n"/>
      <c r="G156" s="17">
        <f>IFERROR($D156*$F156,"")</f>
        <v/>
      </c>
      <c r="H156" s="15" t="n"/>
      <c r="I156" s="18">
        <f>IFERROR($H156/$D156-1,"")</f>
        <v/>
      </c>
      <c r="J156" s="15" t="n"/>
      <c r="K156" s="19">
        <f>IF($A156="","",IFERROR(INDEX(学校マスタ!$G$2:$G$71,MATCH($A156,学校マスタ!$A$2:$A$71,0)),""))</f>
        <v/>
      </c>
      <c r="L156" s="17">
        <f>IF(OR($A156="",$H156="",$J156=""),"",IF($K156="なし",0,$H156-$J156))</f>
        <v/>
      </c>
      <c r="M156" s="16" t="n"/>
      <c r="N156" s="17">
        <f>IFERROR($L156*$M156,"")</f>
        <v/>
      </c>
      <c r="O156" s="20">
        <f>IFERROR($L156/$H156,"")</f>
        <v/>
      </c>
      <c r="P156" s="19">
        <f>IF($A156="","",IFERROR(INDEX(学校マスタ!$F$2:$F$71,MATCH($A156,学校マスタ!$A$2:$A$71,0)),""))</f>
        <v/>
      </c>
    </row>
    <row r="157">
      <c r="A157" s="6" t="n"/>
      <c r="B157" s="6" t="n"/>
      <c r="C157" s="6" t="n"/>
      <c r="D157" s="15" t="n"/>
      <c r="E157" s="15" t="n"/>
      <c r="F157" s="16" t="n"/>
      <c r="G157" s="17">
        <f>IFERROR($D157*$F157,"")</f>
        <v/>
      </c>
      <c r="H157" s="15" t="n"/>
      <c r="I157" s="18">
        <f>IFERROR($H157/$D157-1,"")</f>
        <v/>
      </c>
      <c r="J157" s="15" t="n"/>
      <c r="K157" s="19">
        <f>IF($A157="","",IFERROR(INDEX(学校マスタ!$G$2:$G$71,MATCH($A157,学校マスタ!$A$2:$A$71,0)),""))</f>
        <v/>
      </c>
      <c r="L157" s="17">
        <f>IF(OR($A157="",$H157="",$J157=""),"",IF($K157="なし",0,$H157-$J157))</f>
        <v/>
      </c>
      <c r="M157" s="16" t="n"/>
      <c r="N157" s="17">
        <f>IFERROR($L157*$M157,"")</f>
        <v/>
      </c>
      <c r="O157" s="20">
        <f>IFERROR($L157/$H157,"")</f>
        <v/>
      </c>
      <c r="P157" s="19">
        <f>IF($A157="","",IFERROR(INDEX(学校マスタ!$F$2:$F$71,MATCH($A157,学校マスタ!$A$2:$A$71,0)),""))</f>
        <v/>
      </c>
    </row>
    <row r="158">
      <c r="A158" s="6" t="n"/>
      <c r="B158" s="6" t="n"/>
      <c r="C158" s="6" t="n"/>
      <c r="D158" s="15" t="n"/>
      <c r="E158" s="15" t="n"/>
      <c r="F158" s="16" t="n"/>
      <c r="G158" s="17">
        <f>IFERROR($D158*$F158,"")</f>
        <v/>
      </c>
      <c r="H158" s="15" t="n"/>
      <c r="I158" s="18">
        <f>IFERROR($H158/$D158-1,"")</f>
        <v/>
      </c>
      <c r="J158" s="15" t="n"/>
      <c r="K158" s="19">
        <f>IF($A158="","",IFERROR(INDEX(学校マスタ!$G$2:$G$71,MATCH($A158,学校マスタ!$A$2:$A$71,0)),""))</f>
        <v/>
      </c>
      <c r="L158" s="17">
        <f>IF(OR($A158="",$H158="",$J158=""),"",IF($K158="なし",0,$H158-$J158))</f>
        <v/>
      </c>
      <c r="M158" s="16" t="n"/>
      <c r="N158" s="17">
        <f>IFERROR($L158*$M158,"")</f>
        <v/>
      </c>
      <c r="O158" s="20">
        <f>IFERROR($L158/$H158,"")</f>
        <v/>
      </c>
      <c r="P158" s="19">
        <f>IF($A158="","",IFERROR(INDEX(学校マスタ!$F$2:$F$71,MATCH($A158,学校マスタ!$A$2:$A$71,0)),""))</f>
        <v/>
      </c>
    </row>
    <row r="159">
      <c r="A159" s="6" t="n"/>
      <c r="B159" s="6" t="n"/>
      <c r="C159" s="6" t="n"/>
      <c r="D159" s="15" t="n"/>
      <c r="E159" s="15" t="n"/>
      <c r="F159" s="16" t="n"/>
      <c r="G159" s="17">
        <f>IFERROR($D159*$F159,"")</f>
        <v/>
      </c>
      <c r="H159" s="15" t="n"/>
      <c r="I159" s="18">
        <f>IFERROR($H159/$D159-1,"")</f>
        <v/>
      </c>
      <c r="J159" s="15" t="n"/>
      <c r="K159" s="19">
        <f>IF($A159="","",IFERROR(INDEX(学校マスタ!$G$2:$G$71,MATCH($A159,学校マスタ!$A$2:$A$71,0)),""))</f>
        <v/>
      </c>
      <c r="L159" s="17">
        <f>IF(OR($A159="",$H159="",$J159=""),"",IF($K159="なし",0,$H159-$J159))</f>
        <v/>
      </c>
      <c r="M159" s="16" t="n"/>
      <c r="N159" s="17">
        <f>IFERROR($L159*$M159,"")</f>
        <v/>
      </c>
      <c r="O159" s="20">
        <f>IFERROR($L159/$H159,"")</f>
        <v/>
      </c>
      <c r="P159" s="19">
        <f>IF($A159="","",IFERROR(INDEX(学校マスタ!$F$2:$F$71,MATCH($A159,学校マスタ!$A$2:$A$71,0)),""))</f>
        <v/>
      </c>
    </row>
    <row r="160">
      <c r="A160" s="6" t="n"/>
      <c r="B160" s="6" t="n"/>
      <c r="C160" s="6" t="n"/>
      <c r="D160" s="15" t="n"/>
      <c r="E160" s="15" t="n"/>
      <c r="F160" s="16" t="n"/>
      <c r="G160" s="17">
        <f>IFERROR($D160*$F160,"")</f>
        <v/>
      </c>
      <c r="H160" s="15" t="n"/>
      <c r="I160" s="18">
        <f>IFERROR($H160/$D160-1,"")</f>
        <v/>
      </c>
      <c r="J160" s="15" t="n"/>
      <c r="K160" s="19">
        <f>IF($A160="","",IFERROR(INDEX(学校マスタ!$G$2:$G$71,MATCH($A160,学校マスタ!$A$2:$A$71,0)),""))</f>
        <v/>
      </c>
      <c r="L160" s="17">
        <f>IF(OR($A160="",$H160="",$J160=""),"",IF($K160="なし",0,$H160-$J160))</f>
        <v/>
      </c>
      <c r="M160" s="16" t="n"/>
      <c r="N160" s="17">
        <f>IFERROR($L160*$M160,"")</f>
        <v/>
      </c>
      <c r="O160" s="20">
        <f>IFERROR($L160/$H160,"")</f>
        <v/>
      </c>
      <c r="P160" s="19">
        <f>IF($A160="","",IFERROR(INDEX(学校マスタ!$F$2:$F$71,MATCH($A160,学校マスタ!$A$2:$A$71,0)),""))</f>
        <v/>
      </c>
    </row>
    <row r="161">
      <c r="A161" s="6" t="n"/>
      <c r="B161" s="6" t="n"/>
      <c r="C161" s="6" t="n"/>
      <c r="D161" s="15" t="n"/>
      <c r="E161" s="15" t="n"/>
      <c r="F161" s="16" t="n"/>
      <c r="G161" s="17">
        <f>IFERROR($D161*$F161,"")</f>
        <v/>
      </c>
      <c r="H161" s="15" t="n"/>
      <c r="I161" s="18">
        <f>IFERROR($H161/$D161-1,"")</f>
        <v/>
      </c>
      <c r="J161" s="15" t="n"/>
      <c r="K161" s="19">
        <f>IF($A161="","",IFERROR(INDEX(学校マスタ!$G$2:$G$71,MATCH($A161,学校マスタ!$A$2:$A$71,0)),""))</f>
        <v/>
      </c>
      <c r="L161" s="17">
        <f>IF(OR($A161="",$H161="",$J161=""),"",IF($K161="なし",0,$H161-$J161))</f>
        <v/>
      </c>
      <c r="M161" s="16" t="n"/>
      <c r="N161" s="17">
        <f>IFERROR($L161*$M161,"")</f>
        <v/>
      </c>
      <c r="O161" s="20">
        <f>IFERROR($L161/$H161,"")</f>
        <v/>
      </c>
      <c r="P161" s="19">
        <f>IF($A161="","",IFERROR(INDEX(学校マスタ!$F$2:$F$71,MATCH($A161,学校マスタ!$A$2:$A$71,0)),""))</f>
        <v/>
      </c>
    </row>
    <row r="162">
      <c r="A162" s="6" t="n"/>
      <c r="B162" s="6" t="n"/>
      <c r="C162" s="6" t="n"/>
      <c r="D162" s="15" t="n"/>
      <c r="E162" s="15" t="n"/>
      <c r="F162" s="16" t="n"/>
      <c r="G162" s="17">
        <f>IFERROR($D162*$F162,"")</f>
        <v/>
      </c>
      <c r="H162" s="15" t="n"/>
      <c r="I162" s="18">
        <f>IFERROR($H162/$D162-1,"")</f>
        <v/>
      </c>
      <c r="J162" s="15" t="n"/>
      <c r="K162" s="19">
        <f>IF($A162="","",IFERROR(INDEX(学校マスタ!$G$2:$G$71,MATCH($A162,学校マスタ!$A$2:$A$71,0)),""))</f>
        <v/>
      </c>
      <c r="L162" s="17">
        <f>IF(OR($A162="",$H162="",$J162=""),"",IF($K162="なし",0,$H162-$J162))</f>
        <v/>
      </c>
      <c r="M162" s="16" t="n"/>
      <c r="N162" s="17">
        <f>IFERROR($L162*$M162,"")</f>
        <v/>
      </c>
      <c r="O162" s="20">
        <f>IFERROR($L162/$H162,"")</f>
        <v/>
      </c>
      <c r="P162" s="19">
        <f>IF($A162="","",IFERROR(INDEX(学校マスタ!$F$2:$F$71,MATCH($A162,学校マスタ!$A$2:$A$71,0)),""))</f>
        <v/>
      </c>
    </row>
    <row r="163">
      <c r="A163" s="6" t="n"/>
      <c r="B163" s="6" t="n"/>
      <c r="C163" s="6" t="n"/>
      <c r="D163" s="15" t="n"/>
      <c r="E163" s="15" t="n"/>
      <c r="F163" s="16" t="n"/>
      <c r="G163" s="17">
        <f>IFERROR($D163*$F163,"")</f>
        <v/>
      </c>
      <c r="H163" s="15" t="n"/>
      <c r="I163" s="18">
        <f>IFERROR($H163/$D163-1,"")</f>
        <v/>
      </c>
      <c r="J163" s="15" t="n"/>
      <c r="K163" s="19">
        <f>IF($A163="","",IFERROR(INDEX(学校マスタ!$G$2:$G$71,MATCH($A163,学校マスタ!$A$2:$A$71,0)),""))</f>
        <v/>
      </c>
      <c r="L163" s="17">
        <f>IF(OR($A163="",$H163="",$J163=""),"",IF($K163="なし",0,$H163-$J163))</f>
        <v/>
      </c>
      <c r="M163" s="16" t="n"/>
      <c r="N163" s="17">
        <f>IFERROR($L163*$M163,"")</f>
        <v/>
      </c>
      <c r="O163" s="20">
        <f>IFERROR($L163/$H163,"")</f>
        <v/>
      </c>
      <c r="P163" s="19">
        <f>IF($A163="","",IFERROR(INDEX(学校マスタ!$F$2:$F$71,MATCH($A163,学校マスタ!$A$2:$A$71,0)),""))</f>
        <v/>
      </c>
    </row>
    <row r="164">
      <c r="A164" s="6" t="n"/>
      <c r="B164" s="6" t="n"/>
      <c r="C164" s="6" t="n"/>
      <c r="D164" s="15" t="n"/>
      <c r="E164" s="15" t="n"/>
      <c r="F164" s="16" t="n"/>
      <c r="G164" s="17">
        <f>IFERROR($D164*$F164,"")</f>
        <v/>
      </c>
      <c r="H164" s="15" t="n"/>
      <c r="I164" s="18">
        <f>IFERROR($H164/$D164-1,"")</f>
        <v/>
      </c>
      <c r="J164" s="15" t="n"/>
      <c r="K164" s="19">
        <f>IF($A164="","",IFERROR(INDEX(学校マスタ!$G$2:$G$71,MATCH($A164,学校マスタ!$A$2:$A$71,0)),""))</f>
        <v/>
      </c>
      <c r="L164" s="17">
        <f>IF(OR($A164="",$H164="",$J164=""),"",IF($K164="なし",0,$H164-$J164))</f>
        <v/>
      </c>
      <c r="M164" s="16" t="n"/>
      <c r="N164" s="17">
        <f>IFERROR($L164*$M164,"")</f>
        <v/>
      </c>
      <c r="O164" s="20">
        <f>IFERROR($L164/$H164,"")</f>
        <v/>
      </c>
      <c r="P164" s="19">
        <f>IF($A164="","",IFERROR(INDEX(学校マスタ!$F$2:$F$71,MATCH($A164,学校マスタ!$A$2:$A$71,0)),""))</f>
        <v/>
      </c>
    </row>
    <row r="165">
      <c r="A165" s="6" t="n"/>
      <c r="B165" s="6" t="n"/>
      <c r="C165" s="6" t="n"/>
      <c r="D165" s="15" t="n"/>
      <c r="E165" s="15" t="n"/>
      <c r="F165" s="16" t="n"/>
      <c r="G165" s="17">
        <f>IFERROR($D165*$F165,"")</f>
        <v/>
      </c>
      <c r="H165" s="15" t="n"/>
      <c r="I165" s="18">
        <f>IFERROR($H165/$D165-1,"")</f>
        <v/>
      </c>
      <c r="J165" s="15" t="n"/>
      <c r="K165" s="19">
        <f>IF($A165="","",IFERROR(INDEX(学校マスタ!$G$2:$G$71,MATCH($A165,学校マスタ!$A$2:$A$71,0)),""))</f>
        <v/>
      </c>
      <c r="L165" s="17">
        <f>IF(OR($A165="",$H165="",$J165=""),"",IF($K165="なし",0,$H165-$J165))</f>
        <v/>
      </c>
      <c r="M165" s="16" t="n"/>
      <c r="N165" s="17">
        <f>IFERROR($L165*$M165,"")</f>
        <v/>
      </c>
      <c r="O165" s="20">
        <f>IFERROR($L165/$H165,"")</f>
        <v/>
      </c>
      <c r="P165" s="19">
        <f>IF($A165="","",IFERROR(INDEX(学校マスタ!$F$2:$F$71,MATCH($A165,学校マスタ!$A$2:$A$71,0)),""))</f>
        <v/>
      </c>
    </row>
    <row r="166">
      <c r="A166" s="6" t="n"/>
      <c r="B166" s="6" t="n"/>
      <c r="C166" s="6" t="n"/>
      <c r="D166" s="15" t="n"/>
      <c r="E166" s="15" t="n"/>
      <c r="F166" s="16" t="n"/>
      <c r="G166" s="17">
        <f>IFERROR($D166*$F166,"")</f>
        <v/>
      </c>
      <c r="H166" s="15" t="n"/>
      <c r="I166" s="18">
        <f>IFERROR($H166/$D166-1,"")</f>
        <v/>
      </c>
      <c r="J166" s="15" t="n"/>
      <c r="K166" s="19">
        <f>IF($A166="","",IFERROR(INDEX(学校マスタ!$G$2:$G$71,MATCH($A166,学校マスタ!$A$2:$A$71,0)),""))</f>
        <v/>
      </c>
      <c r="L166" s="17">
        <f>IF(OR($A166="",$H166="",$J166=""),"",IF($K166="なし",0,$H166-$J166))</f>
        <v/>
      </c>
      <c r="M166" s="16" t="n"/>
      <c r="N166" s="17">
        <f>IFERROR($L166*$M166,"")</f>
        <v/>
      </c>
      <c r="O166" s="20">
        <f>IFERROR($L166/$H166,"")</f>
        <v/>
      </c>
      <c r="P166" s="19">
        <f>IF($A166="","",IFERROR(INDEX(学校マスタ!$F$2:$F$71,MATCH($A166,学校マスタ!$A$2:$A$71,0)),""))</f>
        <v/>
      </c>
    </row>
    <row r="167">
      <c r="A167" s="6" t="n"/>
      <c r="B167" s="6" t="n"/>
      <c r="C167" s="6" t="n"/>
      <c r="D167" s="15" t="n"/>
      <c r="E167" s="15" t="n"/>
      <c r="F167" s="16" t="n"/>
      <c r="G167" s="17">
        <f>IFERROR($D167*$F167,"")</f>
        <v/>
      </c>
      <c r="H167" s="15" t="n"/>
      <c r="I167" s="18">
        <f>IFERROR($H167/$D167-1,"")</f>
        <v/>
      </c>
      <c r="J167" s="15" t="n"/>
      <c r="K167" s="19">
        <f>IF($A167="","",IFERROR(INDEX(学校マスタ!$G$2:$G$71,MATCH($A167,学校マスタ!$A$2:$A$71,0)),""))</f>
        <v/>
      </c>
      <c r="L167" s="17">
        <f>IF(OR($A167="",$H167="",$J167=""),"",IF($K167="なし",0,$H167-$J167))</f>
        <v/>
      </c>
      <c r="M167" s="16" t="n"/>
      <c r="N167" s="17">
        <f>IFERROR($L167*$M167,"")</f>
        <v/>
      </c>
      <c r="O167" s="20">
        <f>IFERROR($L167/$H167,"")</f>
        <v/>
      </c>
      <c r="P167" s="19">
        <f>IF($A167="","",IFERROR(INDEX(学校マスタ!$F$2:$F$71,MATCH($A167,学校マスタ!$A$2:$A$71,0)),""))</f>
        <v/>
      </c>
    </row>
    <row r="168">
      <c r="A168" s="6" t="n"/>
      <c r="B168" s="6" t="n"/>
      <c r="C168" s="6" t="n"/>
      <c r="D168" s="15" t="n"/>
      <c r="E168" s="15" t="n"/>
      <c r="F168" s="16" t="n"/>
      <c r="G168" s="17">
        <f>IFERROR($D168*$F168,"")</f>
        <v/>
      </c>
      <c r="H168" s="15" t="n"/>
      <c r="I168" s="18">
        <f>IFERROR($H168/$D168-1,"")</f>
        <v/>
      </c>
      <c r="J168" s="15" t="n"/>
      <c r="K168" s="19">
        <f>IF($A168="","",IFERROR(INDEX(学校マスタ!$G$2:$G$71,MATCH($A168,学校マスタ!$A$2:$A$71,0)),""))</f>
        <v/>
      </c>
      <c r="L168" s="17">
        <f>IF(OR($A168="",$H168="",$J168=""),"",IF($K168="なし",0,$H168-$J168))</f>
        <v/>
      </c>
      <c r="M168" s="16" t="n"/>
      <c r="N168" s="17">
        <f>IFERROR($L168*$M168,"")</f>
        <v/>
      </c>
      <c r="O168" s="20">
        <f>IFERROR($L168/$H168,"")</f>
        <v/>
      </c>
      <c r="P168" s="19">
        <f>IF($A168="","",IFERROR(INDEX(学校マスタ!$F$2:$F$71,MATCH($A168,学校マスタ!$A$2:$A$71,0)),""))</f>
        <v/>
      </c>
    </row>
    <row r="169">
      <c r="A169" s="6" t="n"/>
      <c r="B169" s="6" t="n"/>
      <c r="C169" s="6" t="n"/>
      <c r="D169" s="15" t="n"/>
      <c r="E169" s="15" t="n"/>
      <c r="F169" s="16" t="n"/>
      <c r="G169" s="17">
        <f>IFERROR($D169*$F169,"")</f>
        <v/>
      </c>
      <c r="H169" s="15" t="n"/>
      <c r="I169" s="18">
        <f>IFERROR($H169/$D169-1,"")</f>
        <v/>
      </c>
      <c r="J169" s="15" t="n"/>
      <c r="K169" s="19">
        <f>IF($A169="","",IFERROR(INDEX(学校マスタ!$G$2:$G$71,MATCH($A169,学校マスタ!$A$2:$A$71,0)),""))</f>
        <v/>
      </c>
      <c r="L169" s="17">
        <f>IF(OR($A169="",$H169="",$J169=""),"",IF($K169="なし",0,$H169-$J169))</f>
        <v/>
      </c>
      <c r="M169" s="16" t="n"/>
      <c r="N169" s="17">
        <f>IFERROR($L169*$M169,"")</f>
        <v/>
      </c>
      <c r="O169" s="20">
        <f>IFERROR($L169/$H169,"")</f>
        <v/>
      </c>
      <c r="P169" s="19">
        <f>IF($A169="","",IFERROR(INDEX(学校マスタ!$F$2:$F$71,MATCH($A169,学校マスタ!$A$2:$A$71,0)),""))</f>
        <v/>
      </c>
    </row>
    <row r="170">
      <c r="A170" s="6" t="n"/>
      <c r="B170" s="6" t="n"/>
      <c r="C170" s="6" t="n"/>
      <c r="D170" s="15" t="n"/>
      <c r="E170" s="15" t="n"/>
      <c r="F170" s="16" t="n"/>
      <c r="G170" s="17">
        <f>IFERROR($D170*$F170,"")</f>
        <v/>
      </c>
      <c r="H170" s="15" t="n"/>
      <c r="I170" s="18">
        <f>IFERROR($H170/$D170-1,"")</f>
        <v/>
      </c>
      <c r="J170" s="15" t="n"/>
      <c r="K170" s="19">
        <f>IF($A170="","",IFERROR(INDEX(学校マスタ!$G$2:$G$71,MATCH($A170,学校マスタ!$A$2:$A$71,0)),""))</f>
        <v/>
      </c>
      <c r="L170" s="17">
        <f>IF(OR($A170="",$H170="",$J170=""),"",IF($K170="なし",0,$H170-$J170))</f>
        <v/>
      </c>
      <c r="M170" s="16" t="n"/>
      <c r="N170" s="17">
        <f>IFERROR($L170*$M170,"")</f>
        <v/>
      </c>
      <c r="O170" s="20">
        <f>IFERROR($L170/$H170,"")</f>
        <v/>
      </c>
      <c r="P170" s="19">
        <f>IF($A170="","",IFERROR(INDEX(学校マスタ!$F$2:$F$71,MATCH($A170,学校マスタ!$A$2:$A$71,0)),""))</f>
        <v/>
      </c>
    </row>
    <row r="171">
      <c r="A171" s="6" t="n"/>
      <c r="B171" s="6" t="n"/>
      <c r="C171" s="6" t="n"/>
      <c r="D171" s="15" t="n"/>
      <c r="E171" s="15" t="n"/>
      <c r="F171" s="16" t="n"/>
      <c r="G171" s="17">
        <f>IFERROR($D171*$F171,"")</f>
        <v/>
      </c>
      <c r="H171" s="15" t="n"/>
      <c r="I171" s="18">
        <f>IFERROR($H171/$D171-1,"")</f>
        <v/>
      </c>
      <c r="J171" s="15" t="n"/>
      <c r="K171" s="19">
        <f>IF($A171="","",IFERROR(INDEX(学校マスタ!$G$2:$G$71,MATCH($A171,学校マスタ!$A$2:$A$71,0)),""))</f>
        <v/>
      </c>
      <c r="L171" s="17">
        <f>IF(OR($A171="",$H171="",$J171=""),"",IF($K171="なし",0,$H171-$J171))</f>
        <v/>
      </c>
      <c r="M171" s="16" t="n"/>
      <c r="N171" s="17">
        <f>IFERROR($L171*$M171,"")</f>
        <v/>
      </c>
      <c r="O171" s="20">
        <f>IFERROR($L171/$H171,"")</f>
        <v/>
      </c>
      <c r="P171" s="19">
        <f>IF($A171="","",IFERROR(INDEX(学校マスタ!$F$2:$F$71,MATCH($A171,学校マスタ!$A$2:$A$71,0)),""))</f>
        <v/>
      </c>
    </row>
    <row r="172">
      <c r="A172" s="6" t="n"/>
      <c r="B172" s="6" t="n"/>
      <c r="C172" s="6" t="n"/>
      <c r="D172" s="15" t="n"/>
      <c r="E172" s="15" t="n"/>
      <c r="F172" s="16" t="n"/>
      <c r="G172" s="17">
        <f>IFERROR($D172*$F172,"")</f>
        <v/>
      </c>
      <c r="H172" s="15" t="n"/>
      <c r="I172" s="18">
        <f>IFERROR($H172/$D172-1,"")</f>
        <v/>
      </c>
      <c r="J172" s="15" t="n"/>
      <c r="K172" s="19">
        <f>IF($A172="","",IFERROR(INDEX(学校マスタ!$G$2:$G$71,MATCH($A172,学校マスタ!$A$2:$A$71,0)),""))</f>
        <v/>
      </c>
      <c r="L172" s="17">
        <f>IF(OR($A172="",$H172="",$J172=""),"",IF($K172="なし",0,$H172-$J172))</f>
        <v/>
      </c>
      <c r="M172" s="16" t="n"/>
      <c r="N172" s="17">
        <f>IFERROR($L172*$M172,"")</f>
        <v/>
      </c>
      <c r="O172" s="20">
        <f>IFERROR($L172/$H172,"")</f>
        <v/>
      </c>
      <c r="P172" s="19">
        <f>IF($A172="","",IFERROR(INDEX(学校マスタ!$F$2:$F$71,MATCH($A172,学校マスタ!$A$2:$A$71,0)),""))</f>
        <v/>
      </c>
    </row>
    <row r="173">
      <c r="A173" s="6" t="n"/>
      <c r="B173" s="6" t="n"/>
      <c r="C173" s="6" t="n"/>
      <c r="D173" s="15" t="n"/>
      <c r="E173" s="15" t="n"/>
      <c r="F173" s="16" t="n"/>
      <c r="G173" s="17">
        <f>IFERROR($D173*$F173,"")</f>
        <v/>
      </c>
      <c r="H173" s="15" t="n"/>
      <c r="I173" s="18">
        <f>IFERROR($H173/$D173-1,"")</f>
        <v/>
      </c>
      <c r="J173" s="15" t="n"/>
      <c r="K173" s="19">
        <f>IF($A173="","",IFERROR(INDEX(学校マスタ!$G$2:$G$71,MATCH($A173,学校マスタ!$A$2:$A$71,0)),""))</f>
        <v/>
      </c>
      <c r="L173" s="17">
        <f>IF(OR($A173="",$H173="",$J173=""),"",IF($K173="なし",0,$H173-$J173))</f>
        <v/>
      </c>
      <c r="M173" s="16" t="n"/>
      <c r="N173" s="17">
        <f>IFERROR($L173*$M173,"")</f>
        <v/>
      </c>
      <c r="O173" s="20">
        <f>IFERROR($L173/$H173,"")</f>
        <v/>
      </c>
      <c r="P173" s="19">
        <f>IF($A173="","",IFERROR(INDEX(学校マスタ!$F$2:$F$71,MATCH($A173,学校マスタ!$A$2:$A$71,0)),""))</f>
        <v/>
      </c>
    </row>
    <row r="174">
      <c r="A174" s="6" t="n"/>
      <c r="B174" s="6" t="n"/>
      <c r="C174" s="6" t="n"/>
      <c r="D174" s="15" t="n"/>
      <c r="E174" s="15" t="n"/>
      <c r="F174" s="16" t="n"/>
      <c r="G174" s="17">
        <f>IFERROR($D174*$F174,"")</f>
        <v/>
      </c>
      <c r="H174" s="15" t="n"/>
      <c r="I174" s="18">
        <f>IFERROR($H174/$D174-1,"")</f>
        <v/>
      </c>
      <c r="J174" s="15" t="n"/>
      <c r="K174" s="19">
        <f>IF($A174="","",IFERROR(INDEX(学校マスタ!$G$2:$G$71,MATCH($A174,学校マスタ!$A$2:$A$71,0)),""))</f>
        <v/>
      </c>
      <c r="L174" s="17">
        <f>IF(OR($A174="",$H174="",$J174=""),"",IF($K174="なし",0,$H174-$J174))</f>
        <v/>
      </c>
      <c r="M174" s="16" t="n"/>
      <c r="N174" s="17">
        <f>IFERROR($L174*$M174,"")</f>
        <v/>
      </c>
      <c r="O174" s="20">
        <f>IFERROR($L174/$H174,"")</f>
        <v/>
      </c>
      <c r="P174" s="19">
        <f>IF($A174="","",IFERROR(INDEX(学校マスタ!$F$2:$F$71,MATCH($A174,学校マスタ!$A$2:$A$71,0)),""))</f>
        <v/>
      </c>
    </row>
    <row r="175">
      <c r="A175" s="6" t="n"/>
      <c r="B175" s="6" t="n"/>
      <c r="C175" s="6" t="n"/>
      <c r="D175" s="15" t="n"/>
      <c r="E175" s="15" t="n"/>
      <c r="F175" s="16" t="n"/>
      <c r="G175" s="17">
        <f>IFERROR($D175*$F175,"")</f>
        <v/>
      </c>
      <c r="H175" s="15" t="n"/>
      <c r="I175" s="18">
        <f>IFERROR($H175/$D175-1,"")</f>
        <v/>
      </c>
      <c r="J175" s="15" t="n"/>
      <c r="K175" s="19">
        <f>IF($A175="","",IFERROR(INDEX(学校マスタ!$G$2:$G$71,MATCH($A175,学校マスタ!$A$2:$A$71,0)),""))</f>
        <v/>
      </c>
      <c r="L175" s="17">
        <f>IF(OR($A175="",$H175="",$J175=""),"",IF($K175="なし",0,$H175-$J175))</f>
        <v/>
      </c>
      <c r="M175" s="16" t="n"/>
      <c r="N175" s="17">
        <f>IFERROR($L175*$M175,"")</f>
        <v/>
      </c>
      <c r="O175" s="20">
        <f>IFERROR($L175/$H175,"")</f>
        <v/>
      </c>
      <c r="P175" s="19">
        <f>IF($A175="","",IFERROR(INDEX(学校マスタ!$F$2:$F$71,MATCH($A175,学校マスタ!$A$2:$A$71,0)),""))</f>
        <v/>
      </c>
    </row>
    <row r="176">
      <c r="A176" s="6" t="n"/>
      <c r="B176" s="6" t="n"/>
      <c r="C176" s="6" t="n"/>
      <c r="D176" s="15" t="n"/>
      <c r="E176" s="15" t="n"/>
      <c r="F176" s="16" t="n"/>
      <c r="G176" s="17">
        <f>IFERROR($D176*$F176,"")</f>
        <v/>
      </c>
      <c r="H176" s="15" t="n"/>
      <c r="I176" s="18">
        <f>IFERROR($H176/$D176-1,"")</f>
        <v/>
      </c>
      <c r="J176" s="15" t="n"/>
      <c r="K176" s="19">
        <f>IF($A176="","",IFERROR(INDEX(学校マスタ!$G$2:$G$71,MATCH($A176,学校マスタ!$A$2:$A$71,0)),""))</f>
        <v/>
      </c>
      <c r="L176" s="17">
        <f>IF(OR($A176="",$H176="",$J176=""),"",IF($K176="なし",0,$H176-$J176))</f>
        <v/>
      </c>
      <c r="M176" s="16" t="n"/>
      <c r="N176" s="17">
        <f>IFERROR($L176*$M176,"")</f>
        <v/>
      </c>
      <c r="O176" s="20">
        <f>IFERROR($L176/$H176,"")</f>
        <v/>
      </c>
      <c r="P176" s="19">
        <f>IF($A176="","",IFERROR(INDEX(学校マスタ!$F$2:$F$71,MATCH($A176,学校マスタ!$A$2:$A$71,0)),""))</f>
        <v/>
      </c>
    </row>
    <row r="177">
      <c r="A177" s="6" t="n"/>
      <c r="B177" s="6" t="n"/>
      <c r="C177" s="6" t="n"/>
      <c r="D177" s="15" t="n"/>
      <c r="E177" s="15" t="n"/>
      <c r="F177" s="16" t="n"/>
      <c r="G177" s="17">
        <f>IFERROR($D177*$F177,"")</f>
        <v/>
      </c>
      <c r="H177" s="15" t="n"/>
      <c r="I177" s="18">
        <f>IFERROR($H177/$D177-1,"")</f>
        <v/>
      </c>
      <c r="J177" s="15" t="n"/>
      <c r="K177" s="19">
        <f>IF($A177="","",IFERROR(INDEX(学校マスタ!$G$2:$G$71,MATCH($A177,学校マスタ!$A$2:$A$71,0)),""))</f>
        <v/>
      </c>
      <c r="L177" s="17">
        <f>IF(OR($A177="",$H177="",$J177=""),"",IF($K177="なし",0,$H177-$J177))</f>
        <v/>
      </c>
      <c r="M177" s="16" t="n"/>
      <c r="N177" s="17">
        <f>IFERROR($L177*$M177,"")</f>
        <v/>
      </c>
      <c r="O177" s="20">
        <f>IFERROR($L177/$H177,"")</f>
        <v/>
      </c>
      <c r="P177" s="19">
        <f>IF($A177="","",IFERROR(INDEX(学校マスタ!$F$2:$F$71,MATCH($A177,学校マスタ!$A$2:$A$71,0)),""))</f>
        <v/>
      </c>
    </row>
    <row r="178">
      <c r="A178" s="6" t="n"/>
      <c r="B178" s="6" t="n"/>
      <c r="C178" s="6" t="n"/>
      <c r="D178" s="15" t="n"/>
      <c r="E178" s="15" t="n"/>
      <c r="F178" s="16" t="n"/>
      <c r="G178" s="17">
        <f>IFERROR($D178*$F178,"")</f>
        <v/>
      </c>
      <c r="H178" s="15" t="n"/>
      <c r="I178" s="18">
        <f>IFERROR($H178/$D178-1,"")</f>
        <v/>
      </c>
      <c r="J178" s="15" t="n"/>
      <c r="K178" s="19">
        <f>IF($A178="","",IFERROR(INDEX(学校マスタ!$G$2:$G$71,MATCH($A178,学校マスタ!$A$2:$A$71,0)),""))</f>
        <v/>
      </c>
      <c r="L178" s="17">
        <f>IF(OR($A178="",$H178="",$J178=""),"",IF($K178="なし",0,$H178-$J178))</f>
        <v/>
      </c>
      <c r="M178" s="16" t="n"/>
      <c r="N178" s="17">
        <f>IFERROR($L178*$M178,"")</f>
        <v/>
      </c>
      <c r="O178" s="20">
        <f>IFERROR($L178/$H178,"")</f>
        <v/>
      </c>
      <c r="P178" s="19">
        <f>IF($A178="","",IFERROR(INDEX(学校マスタ!$F$2:$F$71,MATCH($A178,学校マスタ!$A$2:$A$71,0)),""))</f>
        <v/>
      </c>
    </row>
    <row r="179">
      <c r="A179" s="6" t="n"/>
      <c r="B179" s="6" t="n"/>
      <c r="C179" s="6" t="n"/>
      <c r="D179" s="15" t="n"/>
      <c r="E179" s="15" t="n"/>
      <c r="F179" s="16" t="n"/>
      <c r="G179" s="17">
        <f>IFERROR($D179*$F179,"")</f>
        <v/>
      </c>
      <c r="H179" s="15" t="n"/>
      <c r="I179" s="18">
        <f>IFERROR($H179/$D179-1,"")</f>
        <v/>
      </c>
      <c r="J179" s="15" t="n"/>
      <c r="K179" s="19">
        <f>IF($A179="","",IFERROR(INDEX(学校マスタ!$G$2:$G$71,MATCH($A179,学校マスタ!$A$2:$A$71,0)),""))</f>
        <v/>
      </c>
      <c r="L179" s="17">
        <f>IF(OR($A179="",$H179="",$J179=""),"",IF($K179="なし",0,$H179-$J179))</f>
        <v/>
      </c>
      <c r="M179" s="16" t="n"/>
      <c r="N179" s="17">
        <f>IFERROR($L179*$M179,"")</f>
        <v/>
      </c>
      <c r="O179" s="20">
        <f>IFERROR($L179/$H179,"")</f>
        <v/>
      </c>
      <c r="P179" s="19">
        <f>IF($A179="","",IFERROR(INDEX(学校マスタ!$F$2:$F$71,MATCH($A179,学校マスタ!$A$2:$A$71,0)),""))</f>
        <v/>
      </c>
    </row>
    <row r="180">
      <c r="A180" s="6" t="n"/>
      <c r="B180" s="6" t="n"/>
      <c r="C180" s="6" t="n"/>
      <c r="D180" s="15" t="n"/>
      <c r="E180" s="15" t="n"/>
      <c r="F180" s="16" t="n"/>
      <c r="G180" s="17">
        <f>IFERROR($D180*$F180,"")</f>
        <v/>
      </c>
      <c r="H180" s="15" t="n"/>
      <c r="I180" s="18">
        <f>IFERROR($H180/$D180-1,"")</f>
        <v/>
      </c>
      <c r="J180" s="15" t="n"/>
      <c r="K180" s="19">
        <f>IF($A180="","",IFERROR(INDEX(学校マスタ!$G$2:$G$71,MATCH($A180,学校マスタ!$A$2:$A$71,0)),""))</f>
        <v/>
      </c>
      <c r="L180" s="17">
        <f>IF(OR($A180="",$H180="",$J180=""),"",IF($K180="なし",0,$H180-$J180))</f>
        <v/>
      </c>
      <c r="M180" s="16" t="n"/>
      <c r="N180" s="17">
        <f>IFERROR($L180*$M180,"")</f>
        <v/>
      </c>
      <c r="O180" s="20">
        <f>IFERROR($L180/$H180,"")</f>
        <v/>
      </c>
      <c r="P180" s="19">
        <f>IF($A180="","",IFERROR(INDEX(学校マスタ!$F$2:$F$71,MATCH($A180,学校マスタ!$A$2:$A$71,0)),""))</f>
        <v/>
      </c>
    </row>
    <row r="181">
      <c r="A181" s="6" t="n"/>
      <c r="B181" s="6" t="n"/>
      <c r="C181" s="6" t="n"/>
      <c r="D181" s="15" t="n"/>
      <c r="E181" s="15" t="n"/>
      <c r="F181" s="16" t="n"/>
      <c r="G181" s="17">
        <f>IFERROR($D181*$F181,"")</f>
        <v/>
      </c>
      <c r="H181" s="15" t="n"/>
      <c r="I181" s="18">
        <f>IFERROR($H181/$D181-1,"")</f>
        <v/>
      </c>
      <c r="J181" s="15" t="n"/>
      <c r="K181" s="19">
        <f>IF($A181="","",IFERROR(INDEX(学校マスタ!$G$2:$G$71,MATCH($A181,学校マスタ!$A$2:$A$71,0)),""))</f>
        <v/>
      </c>
      <c r="L181" s="17">
        <f>IF(OR($A181="",$H181="",$J181=""),"",IF($K181="なし",0,$H181-$J181))</f>
        <v/>
      </c>
      <c r="M181" s="16" t="n"/>
      <c r="N181" s="17">
        <f>IFERROR($L181*$M181,"")</f>
        <v/>
      </c>
      <c r="O181" s="20">
        <f>IFERROR($L181/$H181,"")</f>
        <v/>
      </c>
      <c r="P181" s="19">
        <f>IF($A181="","",IFERROR(INDEX(学校マスタ!$F$2:$F$71,MATCH($A181,学校マスタ!$A$2:$A$71,0)),""))</f>
        <v/>
      </c>
    </row>
    <row r="182">
      <c r="A182" s="6" t="n"/>
      <c r="B182" s="6" t="n"/>
      <c r="C182" s="6" t="n"/>
      <c r="D182" s="15" t="n"/>
      <c r="E182" s="15" t="n"/>
      <c r="F182" s="16" t="n"/>
      <c r="G182" s="17">
        <f>IFERROR($D182*$F182,"")</f>
        <v/>
      </c>
      <c r="H182" s="15" t="n"/>
      <c r="I182" s="18">
        <f>IFERROR($H182/$D182-1,"")</f>
        <v/>
      </c>
      <c r="J182" s="15" t="n"/>
      <c r="K182" s="19">
        <f>IF($A182="","",IFERROR(INDEX(学校マスタ!$G$2:$G$71,MATCH($A182,学校マスタ!$A$2:$A$71,0)),""))</f>
        <v/>
      </c>
      <c r="L182" s="17">
        <f>IF(OR($A182="",$H182="",$J182=""),"",IF($K182="なし",0,$H182-$J182))</f>
        <v/>
      </c>
      <c r="M182" s="16" t="n"/>
      <c r="N182" s="17">
        <f>IFERROR($L182*$M182,"")</f>
        <v/>
      </c>
      <c r="O182" s="20">
        <f>IFERROR($L182/$H182,"")</f>
        <v/>
      </c>
      <c r="P182" s="19">
        <f>IF($A182="","",IFERROR(INDEX(学校マスタ!$F$2:$F$71,MATCH($A182,学校マスタ!$A$2:$A$71,0)),""))</f>
        <v/>
      </c>
    </row>
    <row r="183">
      <c r="A183" s="6" t="n"/>
      <c r="B183" s="6" t="n"/>
      <c r="C183" s="6" t="n"/>
      <c r="D183" s="15" t="n"/>
      <c r="E183" s="15" t="n"/>
      <c r="F183" s="16" t="n"/>
      <c r="G183" s="17">
        <f>IFERROR($D183*$F183,"")</f>
        <v/>
      </c>
      <c r="H183" s="15" t="n"/>
      <c r="I183" s="18">
        <f>IFERROR($H183/$D183-1,"")</f>
        <v/>
      </c>
      <c r="J183" s="15" t="n"/>
      <c r="K183" s="19">
        <f>IF($A183="","",IFERROR(INDEX(学校マスタ!$G$2:$G$71,MATCH($A183,学校マスタ!$A$2:$A$71,0)),""))</f>
        <v/>
      </c>
      <c r="L183" s="17">
        <f>IF(OR($A183="",$H183="",$J183=""),"",IF($K183="なし",0,$H183-$J183))</f>
        <v/>
      </c>
      <c r="M183" s="16" t="n"/>
      <c r="N183" s="17">
        <f>IFERROR($L183*$M183,"")</f>
        <v/>
      </c>
      <c r="O183" s="20">
        <f>IFERROR($L183/$H183,"")</f>
        <v/>
      </c>
      <c r="P183" s="19">
        <f>IF($A183="","",IFERROR(INDEX(学校マスタ!$F$2:$F$71,MATCH($A183,学校マスタ!$A$2:$A$71,0)),""))</f>
        <v/>
      </c>
    </row>
    <row r="184">
      <c r="A184" s="6" t="n"/>
      <c r="B184" s="6" t="n"/>
      <c r="C184" s="6" t="n"/>
      <c r="D184" s="15" t="n"/>
      <c r="E184" s="15" t="n"/>
      <c r="F184" s="16" t="n"/>
      <c r="G184" s="17">
        <f>IFERROR($D184*$F184,"")</f>
        <v/>
      </c>
      <c r="H184" s="15" t="n"/>
      <c r="I184" s="18">
        <f>IFERROR($H184/$D184-1,"")</f>
        <v/>
      </c>
      <c r="J184" s="15" t="n"/>
      <c r="K184" s="19">
        <f>IF($A184="","",IFERROR(INDEX(学校マスタ!$G$2:$G$71,MATCH($A184,学校マスタ!$A$2:$A$71,0)),""))</f>
        <v/>
      </c>
      <c r="L184" s="17">
        <f>IF(OR($A184="",$H184="",$J184=""),"",IF($K184="なし",0,$H184-$J184))</f>
        <v/>
      </c>
      <c r="M184" s="16" t="n"/>
      <c r="N184" s="17">
        <f>IFERROR($L184*$M184,"")</f>
        <v/>
      </c>
      <c r="O184" s="20">
        <f>IFERROR($L184/$H184,"")</f>
        <v/>
      </c>
      <c r="P184" s="19">
        <f>IF($A184="","",IFERROR(INDEX(学校マスタ!$F$2:$F$71,MATCH($A184,学校マスタ!$A$2:$A$71,0)),""))</f>
        <v/>
      </c>
    </row>
    <row r="185">
      <c r="A185" s="6" t="n"/>
      <c r="B185" s="6" t="n"/>
      <c r="C185" s="6" t="n"/>
      <c r="D185" s="15" t="n"/>
      <c r="E185" s="15" t="n"/>
      <c r="F185" s="16" t="n"/>
      <c r="G185" s="17">
        <f>IFERROR($D185*$F185,"")</f>
        <v/>
      </c>
      <c r="H185" s="15" t="n"/>
      <c r="I185" s="18">
        <f>IFERROR($H185/$D185-1,"")</f>
        <v/>
      </c>
      <c r="J185" s="15" t="n"/>
      <c r="K185" s="19">
        <f>IF($A185="","",IFERROR(INDEX(学校マスタ!$G$2:$G$71,MATCH($A185,学校マスタ!$A$2:$A$71,0)),""))</f>
        <v/>
      </c>
      <c r="L185" s="17">
        <f>IF(OR($A185="",$H185="",$J185=""),"",IF($K185="なし",0,$H185-$J185))</f>
        <v/>
      </c>
      <c r="M185" s="16" t="n"/>
      <c r="N185" s="17">
        <f>IFERROR($L185*$M185,"")</f>
        <v/>
      </c>
      <c r="O185" s="20">
        <f>IFERROR($L185/$H185,"")</f>
        <v/>
      </c>
      <c r="P185" s="19">
        <f>IF($A185="","",IFERROR(INDEX(学校マスタ!$F$2:$F$71,MATCH($A185,学校マスタ!$A$2:$A$71,0)),""))</f>
        <v/>
      </c>
    </row>
    <row r="186">
      <c r="A186" s="6" t="n"/>
      <c r="B186" s="6" t="n"/>
      <c r="C186" s="6" t="n"/>
      <c r="D186" s="15" t="n"/>
      <c r="E186" s="15" t="n"/>
      <c r="F186" s="16" t="n"/>
      <c r="G186" s="17">
        <f>IFERROR($D186*$F186,"")</f>
        <v/>
      </c>
      <c r="H186" s="15" t="n"/>
      <c r="I186" s="18">
        <f>IFERROR($H186/$D186-1,"")</f>
        <v/>
      </c>
      <c r="J186" s="15" t="n"/>
      <c r="K186" s="19">
        <f>IF($A186="","",IFERROR(INDEX(学校マスタ!$G$2:$G$71,MATCH($A186,学校マスタ!$A$2:$A$71,0)),""))</f>
        <v/>
      </c>
      <c r="L186" s="17">
        <f>IF(OR($A186="",$H186="",$J186=""),"",IF($K186="なし",0,$H186-$J186))</f>
        <v/>
      </c>
      <c r="M186" s="16" t="n"/>
      <c r="N186" s="17">
        <f>IFERROR($L186*$M186,"")</f>
        <v/>
      </c>
      <c r="O186" s="20">
        <f>IFERROR($L186/$H186,"")</f>
        <v/>
      </c>
      <c r="P186" s="19">
        <f>IF($A186="","",IFERROR(INDEX(学校マスタ!$F$2:$F$71,MATCH($A186,学校マスタ!$A$2:$A$71,0)),""))</f>
        <v/>
      </c>
    </row>
    <row r="187">
      <c r="A187" s="6" t="n"/>
      <c r="B187" s="6" t="n"/>
      <c r="C187" s="6" t="n"/>
      <c r="D187" s="15" t="n"/>
      <c r="E187" s="15" t="n"/>
      <c r="F187" s="16" t="n"/>
      <c r="G187" s="17">
        <f>IFERROR($D187*$F187,"")</f>
        <v/>
      </c>
      <c r="H187" s="15" t="n"/>
      <c r="I187" s="18">
        <f>IFERROR($H187/$D187-1,"")</f>
        <v/>
      </c>
      <c r="J187" s="15" t="n"/>
      <c r="K187" s="19">
        <f>IF($A187="","",IFERROR(INDEX(学校マスタ!$G$2:$G$71,MATCH($A187,学校マスタ!$A$2:$A$71,0)),""))</f>
        <v/>
      </c>
      <c r="L187" s="17">
        <f>IF(OR($A187="",$H187="",$J187=""),"",IF($K187="なし",0,$H187-$J187))</f>
        <v/>
      </c>
      <c r="M187" s="16" t="n"/>
      <c r="N187" s="17">
        <f>IFERROR($L187*$M187,"")</f>
        <v/>
      </c>
      <c r="O187" s="20">
        <f>IFERROR($L187/$H187,"")</f>
        <v/>
      </c>
      <c r="P187" s="19">
        <f>IF($A187="","",IFERROR(INDEX(学校マスタ!$F$2:$F$71,MATCH($A187,学校マスタ!$A$2:$A$71,0)),""))</f>
        <v/>
      </c>
    </row>
    <row r="188">
      <c r="A188" s="6" t="n"/>
      <c r="B188" s="6" t="n"/>
      <c r="C188" s="6" t="n"/>
      <c r="D188" s="15" t="n"/>
      <c r="E188" s="15" t="n"/>
      <c r="F188" s="16" t="n"/>
      <c r="G188" s="17">
        <f>IFERROR($D188*$F188,"")</f>
        <v/>
      </c>
      <c r="H188" s="15" t="n"/>
      <c r="I188" s="18">
        <f>IFERROR($H188/$D188-1,"")</f>
        <v/>
      </c>
      <c r="J188" s="15" t="n"/>
      <c r="K188" s="19">
        <f>IF($A188="","",IFERROR(INDEX(学校マスタ!$G$2:$G$71,MATCH($A188,学校マスタ!$A$2:$A$71,0)),""))</f>
        <v/>
      </c>
      <c r="L188" s="17">
        <f>IF(OR($A188="",$H188="",$J188=""),"",IF($K188="なし",0,$H188-$J188))</f>
        <v/>
      </c>
      <c r="M188" s="16" t="n"/>
      <c r="N188" s="17">
        <f>IFERROR($L188*$M188,"")</f>
        <v/>
      </c>
      <c r="O188" s="20">
        <f>IFERROR($L188/$H188,"")</f>
        <v/>
      </c>
      <c r="P188" s="19">
        <f>IF($A188="","",IFERROR(INDEX(学校マスタ!$F$2:$F$71,MATCH($A188,学校マスタ!$A$2:$A$71,0)),""))</f>
        <v/>
      </c>
    </row>
    <row r="189">
      <c r="A189" s="6" t="n"/>
      <c r="B189" s="6" t="n"/>
      <c r="C189" s="6" t="n"/>
      <c r="D189" s="15" t="n"/>
      <c r="E189" s="15" t="n"/>
      <c r="F189" s="16" t="n"/>
      <c r="G189" s="17">
        <f>IFERROR($D189*$F189,"")</f>
        <v/>
      </c>
      <c r="H189" s="15" t="n"/>
      <c r="I189" s="18">
        <f>IFERROR($H189/$D189-1,"")</f>
        <v/>
      </c>
      <c r="J189" s="15" t="n"/>
      <c r="K189" s="19">
        <f>IF($A189="","",IFERROR(INDEX(学校マスタ!$G$2:$G$71,MATCH($A189,学校マスタ!$A$2:$A$71,0)),""))</f>
        <v/>
      </c>
      <c r="L189" s="17">
        <f>IF(OR($A189="",$H189="",$J189=""),"",IF($K189="なし",0,$H189-$J189))</f>
        <v/>
      </c>
      <c r="M189" s="16" t="n"/>
      <c r="N189" s="17">
        <f>IFERROR($L189*$M189,"")</f>
        <v/>
      </c>
      <c r="O189" s="20">
        <f>IFERROR($L189/$H189,"")</f>
        <v/>
      </c>
      <c r="P189" s="19">
        <f>IF($A189="","",IFERROR(INDEX(学校マスタ!$F$2:$F$71,MATCH($A189,学校マスタ!$A$2:$A$71,0)),""))</f>
        <v/>
      </c>
    </row>
    <row r="190">
      <c r="A190" s="6" t="n"/>
      <c r="B190" s="6" t="n"/>
      <c r="C190" s="6" t="n"/>
      <c r="D190" s="15" t="n"/>
      <c r="E190" s="15" t="n"/>
      <c r="F190" s="16" t="n"/>
      <c r="G190" s="17">
        <f>IFERROR($D190*$F190,"")</f>
        <v/>
      </c>
      <c r="H190" s="15" t="n"/>
      <c r="I190" s="18">
        <f>IFERROR($H190/$D190-1,"")</f>
        <v/>
      </c>
      <c r="J190" s="15" t="n"/>
      <c r="K190" s="19">
        <f>IF($A190="","",IFERROR(INDEX(学校マスタ!$G$2:$G$71,MATCH($A190,学校マスタ!$A$2:$A$71,0)),""))</f>
        <v/>
      </c>
      <c r="L190" s="17">
        <f>IF(OR($A190="",$H190="",$J190=""),"",IF($K190="なし",0,$H190-$J190))</f>
        <v/>
      </c>
      <c r="M190" s="16" t="n"/>
      <c r="N190" s="17">
        <f>IFERROR($L190*$M190,"")</f>
        <v/>
      </c>
      <c r="O190" s="20">
        <f>IFERROR($L190/$H190,"")</f>
        <v/>
      </c>
      <c r="P190" s="19">
        <f>IF($A190="","",IFERROR(INDEX(学校マスタ!$F$2:$F$71,MATCH($A190,学校マスタ!$A$2:$A$71,0)),""))</f>
        <v/>
      </c>
    </row>
    <row r="191">
      <c r="A191" s="6" t="n"/>
      <c r="B191" s="6" t="n"/>
      <c r="C191" s="6" t="n"/>
      <c r="D191" s="15" t="n"/>
      <c r="E191" s="15" t="n"/>
      <c r="F191" s="16" t="n"/>
      <c r="G191" s="17">
        <f>IFERROR($D191*$F191,"")</f>
        <v/>
      </c>
      <c r="H191" s="15" t="n"/>
      <c r="I191" s="18">
        <f>IFERROR($H191/$D191-1,"")</f>
        <v/>
      </c>
      <c r="J191" s="15" t="n"/>
      <c r="K191" s="19">
        <f>IF($A191="","",IFERROR(INDEX(学校マスタ!$G$2:$G$71,MATCH($A191,学校マスタ!$A$2:$A$71,0)),""))</f>
        <v/>
      </c>
      <c r="L191" s="17">
        <f>IF(OR($A191="",$H191="",$J191=""),"",IF($K191="なし",0,$H191-$J191))</f>
        <v/>
      </c>
      <c r="M191" s="16" t="n"/>
      <c r="N191" s="17">
        <f>IFERROR($L191*$M191,"")</f>
        <v/>
      </c>
      <c r="O191" s="20">
        <f>IFERROR($L191/$H191,"")</f>
        <v/>
      </c>
      <c r="P191" s="19">
        <f>IF($A191="","",IFERROR(INDEX(学校マスタ!$F$2:$F$71,MATCH($A191,学校マスタ!$A$2:$A$71,0)),""))</f>
        <v/>
      </c>
    </row>
    <row r="192">
      <c r="A192" s="6" t="n"/>
      <c r="B192" s="6" t="n"/>
      <c r="C192" s="6" t="n"/>
      <c r="D192" s="15" t="n"/>
      <c r="E192" s="15" t="n"/>
      <c r="F192" s="16" t="n"/>
      <c r="G192" s="17">
        <f>IFERROR($D192*$F192,"")</f>
        <v/>
      </c>
      <c r="H192" s="15" t="n"/>
      <c r="I192" s="18">
        <f>IFERROR($H192/$D192-1,"")</f>
        <v/>
      </c>
      <c r="J192" s="15" t="n"/>
      <c r="K192" s="19">
        <f>IF($A192="","",IFERROR(INDEX(学校マスタ!$G$2:$G$71,MATCH($A192,学校マスタ!$A$2:$A$71,0)),""))</f>
        <v/>
      </c>
      <c r="L192" s="17">
        <f>IF(OR($A192="",$H192="",$J192=""),"",IF($K192="なし",0,$H192-$J192))</f>
        <v/>
      </c>
      <c r="M192" s="16" t="n"/>
      <c r="N192" s="17">
        <f>IFERROR($L192*$M192,"")</f>
        <v/>
      </c>
      <c r="O192" s="20">
        <f>IFERROR($L192/$H192,"")</f>
        <v/>
      </c>
      <c r="P192" s="19">
        <f>IF($A192="","",IFERROR(INDEX(学校マスタ!$F$2:$F$71,MATCH($A192,学校マスタ!$A$2:$A$71,0)),""))</f>
        <v/>
      </c>
    </row>
    <row r="193">
      <c r="A193" s="6" t="n"/>
      <c r="B193" s="6" t="n"/>
      <c r="C193" s="6" t="n"/>
      <c r="D193" s="15" t="n"/>
      <c r="E193" s="15" t="n"/>
      <c r="F193" s="16" t="n"/>
      <c r="G193" s="17">
        <f>IFERROR($D193*$F193,"")</f>
        <v/>
      </c>
      <c r="H193" s="15" t="n"/>
      <c r="I193" s="18">
        <f>IFERROR($H193/$D193-1,"")</f>
        <v/>
      </c>
      <c r="J193" s="15" t="n"/>
      <c r="K193" s="19">
        <f>IF($A193="","",IFERROR(INDEX(学校マスタ!$G$2:$G$71,MATCH($A193,学校マスタ!$A$2:$A$71,0)),""))</f>
        <v/>
      </c>
      <c r="L193" s="17">
        <f>IF(OR($A193="",$H193="",$J193=""),"",IF($K193="なし",0,$H193-$J193))</f>
        <v/>
      </c>
      <c r="M193" s="16" t="n"/>
      <c r="N193" s="17">
        <f>IFERROR($L193*$M193,"")</f>
        <v/>
      </c>
      <c r="O193" s="20">
        <f>IFERROR($L193/$H193,"")</f>
        <v/>
      </c>
      <c r="P193" s="19">
        <f>IF($A193="","",IFERROR(INDEX(学校マスタ!$F$2:$F$71,MATCH($A193,学校マスタ!$A$2:$A$71,0)),""))</f>
        <v/>
      </c>
    </row>
    <row r="194">
      <c r="A194" s="6" t="n"/>
      <c r="B194" s="6" t="n"/>
      <c r="C194" s="6" t="n"/>
      <c r="D194" s="15" t="n"/>
      <c r="E194" s="15" t="n"/>
      <c r="F194" s="16" t="n"/>
      <c r="G194" s="17">
        <f>IFERROR($D194*$F194,"")</f>
        <v/>
      </c>
      <c r="H194" s="15" t="n"/>
      <c r="I194" s="18">
        <f>IFERROR($H194/$D194-1,"")</f>
        <v/>
      </c>
      <c r="J194" s="15" t="n"/>
      <c r="K194" s="19">
        <f>IF($A194="","",IFERROR(INDEX(学校マスタ!$G$2:$G$71,MATCH($A194,学校マスタ!$A$2:$A$71,0)),""))</f>
        <v/>
      </c>
      <c r="L194" s="17">
        <f>IF(OR($A194="",$H194="",$J194=""),"",IF($K194="なし",0,$H194-$J194))</f>
        <v/>
      </c>
      <c r="M194" s="16" t="n"/>
      <c r="N194" s="17">
        <f>IFERROR($L194*$M194,"")</f>
        <v/>
      </c>
      <c r="O194" s="20">
        <f>IFERROR($L194/$H194,"")</f>
        <v/>
      </c>
      <c r="P194" s="19">
        <f>IF($A194="","",IFERROR(INDEX(学校マスタ!$F$2:$F$71,MATCH($A194,学校マスタ!$A$2:$A$71,0)),""))</f>
        <v/>
      </c>
    </row>
    <row r="195">
      <c r="A195" s="6" t="n"/>
      <c r="B195" s="6" t="n"/>
      <c r="C195" s="6" t="n"/>
      <c r="D195" s="15" t="n"/>
      <c r="E195" s="15" t="n"/>
      <c r="F195" s="16" t="n"/>
      <c r="G195" s="17">
        <f>IFERROR($D195*$F195,"")</f>
        <v/>
      </c>
      <c r="H195" s="15" t="n"/>
      <c r="I195" s="18">
        <f>IFERROR($H195/$D195-1,"")</f>
        <v/>
      </c>
      <c r="J195" s="15" t="n"/>
      <c r="K195" s="19">
        <f>IF($A195="","",IFERROR(INDEX(学校マスタ!$G$2:$G$71,MATCH($A195,学校マスタ!$A$2:$A$71,0)),""))</f>
        <v/>
      </c>
      <c r="L195" s="17">
        <f>IF(OR($A195="",$H195="",$J195=""),"",IF($K195="なし",0,$H195-$J195))</f>
        <v/>
      </c>
      <c r="M195" s="16" t="n"/>
      <c r="N195" s="17">
        <f>IFERROR($L195*$M195,"")</f>
        <v/>
      </c>
      <c r="O195" s="20">
        <f>IFERROR($L195/$H195,"")</f>
        <v/>
      </c>
      <c r="P195" s="19">
        <f>IF($A195="","",IFERROR(INDEX(学校マスタ!$F$2:$F$71,MATCH($A195,学校マスタ!$A$2:$A$71,0)),""))</f>
        <v/>
      </c>
    </row>
    <row r="196">
      <c r="A196" s="6" t="n"/>
      <c r="B196" s="6" t="n"/>
      <c r="C196" s="6" t="n"/>
      <c r="D196" s="15" t="n"/>
      <c r="E196" s="15" t="n"/>
      <c r="F196" s="16" t="n"/>
      <c r="G196" s="17">
        <f>IFERROR($D196*$F196,"")</f>
        <v/>
      </c>
      <c r="H196" s="15" t="n"/>
      <c r="I196" s="18">
        <f>IFERROR($H196/$D196-1,"")</f>
        <v/>
      </c>
      <c r="J196" s="15" t="n"/>
      <c r="K196" s="19">
        <f>IF($A196="","",IFERROR(INDEX(学校マスタ!$G$2:$G$71,MATCH($A196,学校マスタ!$A$2:$A$71,0)),""))</f>
        <v/>
      </c>
      <c r="L196" s="17">
        <f>IF(OR($A196="",$H196="",$J196=""),"",IF($K196="なし",0,$H196-$J196))</f>
        <v/>
      </c>
      <c r="M196" s="16" t="n"/>
      <c r="N196" s="17">
        <f>IFERROR($L196*$M196,"")</f>
        <v/>
      </c>
      <c r="O196" s="20">
        <f>IFERROR($L196/$H196,"")</f>
        <v/>
      </c>
      <c r="P196" s="19">
        <f>IF($A196="","",IFERROR(INDEX(学校マスタ!$F$2:$F$71,MATCH($A196,学校マスタ!$A$2:$A$71,0)),""))</f>
        <v/>
      </c>
    </row>
    <row r="197">
      <c r="A197" s="6" t="n"/>
      <c r="B197" s="6" t="n"/>
      <c r="C197" s="6" t="n"/>
      <c r="D197" s="15" t="n"/>
      <c r="E197" s="15" t="n"/>
      <c r="F197" s="16" t="n"/>
      <c r="G197" s="17">
        <f>IFERROR($D197*$F197,"")</f>
        <v/>
      </c>
      <c r="H197" s="15" t="n"/>
      <c r="I197" s="18">
        <f>IFERROR($H197/$D197-1,"")</f>
        <v/>
      </c>
      <c r="J197" s="15" t="n"/>
      <c r="K197" s="19">
        <f>IF($A197="","",IFERROR(INDEX(学校マスタ!$G$2:$G$71,MATCH($A197,学校マスタ!$A$2:$A$71,0)),""))</f>
        <v/>
      </c>
      <c r="L197" s="17">
        <f>IF(OR($A197="",$H197="",$J197=""),"",IF($K197="なし",0,$H197-$J197))</f>
        <v/>
      </c>
      <c r="M197" s="16" t="n"/>
      <c r="N197" s="17">
        <f>IFERROR($L197*$M197,"")</f>
        <v/>
      </c>
      <c r="O197" s="20">
        <f>IFERROR($L197/$H197,"")</f>
        <v/>
      </c>
      <c r="P197" s="19">
        <f>IF($A197="","",IFERROR(INDEX(学校マスタ!$F$2:$F$71,MATCH($A197,学校マスタ!$A$2:$A$71,0)),""))</f>
        <v/>
      </c>
    </row>
    <row r="198">
      <c r="A198" s="6" t="n"/>
      <c r="B198" s="6" t="n"/>
      <c r="C198" s="6" t="n"/>
      <c r="D198" s="15" t="n"/>
      <c r="E198" s="15" t="n"/>
      <c r="F198" s="16" t="n"/>
      <c r="G198" s="17">
        <f>IFERROR($D198*$F198,"")</f>
        <v/>
      </c>
      <c r="H198" s="15" t="n"/>
      <c r="I198" s="18">
        <f>IFERROR($H198/$D198-1,"")</f>
        <v/>
      </c>
      <c r="J198" s="15" t="n"/>
      <c r="K198" s="19">
        <f>IF($A198="","",IFERROR(INDEX(学校マスタ!$G$2:$G$71,MATCH($A198,学校マスタ!$A$2:$A$71,0)),""))</f>
        <v/>
      </c>
      <c r="L198" s="17">
        <f>IF(OR($A198="",$H198="",$J198=""),"",IF($K198="なし",0,$H198-$J198))</f>
        <v/>
      </c>
      <c r="M198" s="16" t="n"/>
      <c r="N198" s="17">
        <f>IFERROR($L198*$M198,"")</f>
        <v/>
      </c>
      <c r="O198" s="20">
        <f>IFERROR($L198/$H198,"")</f>
        <v/>
      </c>
      <c r="P198" s="19">
        <f>IF($A198="","",IFERROR(INDEX(学校マスタ!$F$2:$F$71,MATCH($A198,学校マスタ!$A$2:$A$71,0)),""))</f>
        <v/>
      </c>
    </row>
    <row r="199">
      <c r="A199" s="6" t="n"/>
      <c r="B199" s="6" t="n"/>
      <c r="C199" s="6" t="n"/>
      <c r="D199" s="15" t="n"/>
      <c r="E199" s="15" t="n"/>
      <c r="F199" s="16" t="n"/>
      <c r="G199" s="17">
        <f>IFERROR($D199*$F199,"")</f>
        <v/>
      </c>
      <c r="H199" s="15" t="n"/>
      <c r="I199" s="18">
        <f>IFERROR($H199/$D199-1,"")</f>
        <v/>
      </c>
      <c r="J199" s="15" t="n"/>
      <c r="K199" s="19">
        <f>IF($A199="","",IFERROR(INDEX(学校マスタ!$G$2:$G$71,MATCH($A199,学校マスタ!$A$2:$A$71,0)),""))</f>
        <v/>
      </c>
      <c r="L199" s="17">
        <f>IF(OR($A199="",$H199="",$J199=""),"",IF($K199="なし",0,$H199-$J199))</f>
        <v/>
      </c>
      <c r="M199" s="16" t="n"/>
      <c r="N199" s="17">
        <f>IFERROR($L199*$M199,"")</f>
        <v/>
      </c>
      <c r="O199" s="20">
        <f>IFERROR($L199/$H199,"")</f>
        <v/>
      </c>
      <c r="P199" s="19">
        <f>IF($A199="","",IFERROR(INDEX(学校マスタ!$F$2:$F$71,MATCH($A199,学校マスタ!$A$2:$A$71,0)),""))</f>
        <v/>
      </c>
    </row>
    <row r="200">
      <c r="A200" s="6" t="n"/>
      <c r="B200" s="6" t="n"/>
      <c r="C200" s="6" t="n"/>
      <c r="D200" s="15" t="n"/>
      <c r="E200" s="15" t="n"/>
      <c r="F200" s="16" t="n"/>
      <c r="G200" s="17">
        <f>IFERROR($D200*$F200,"")</f>
        <v/>
      </c>
      <c r="H200" s="15" t="n"/>
      <c r="I200" s="18">
        <f>IFERROR($H200/$D200-1,"")</f>
        <v/>
      </c>
      <c r="J200" s="15" t="n"/>
      <c r="K200" s="19">
        <f>IF($A200="","",IFERROR(INDEX(学校マスタ!$G$2:$G$71,MATCH($A200,学校マスタ!$A$2:$A$71,0)),""))</f>
        <v/>
      </c>
      <c r="L200" s="17">
        <f>IF(OR($A200="",$H200="",$J200=""),"",IF($K200="なし",0,$H200-$J200))</f>
        <v/>
      </c>
      <c r="M200" s="16" t="n"/>
      <c r="N200" s="17">
        <f>IFERROR($L200*$M200,"")</f>
        <v/>
      </c>
      <c r="O200" s="20">
        <f>IFERROR($L200/$H200,"")</f>
        <v/>
      </c>
      <c r="P200" s="19">
        <f>IF($A200="","",IFERROR(INDEX(学校マスタ!$F$2:$F$71,MATCH($A200,学校マスタ!$A$2:$A$71,0)),""))</f>
        <v/>
      </c>
    </row>
    <row r="201">
      <c r="A201" s="6" t="n"/>
      <c r="B201" s="6" t="n"/>
      <c r="C201" s="6" t="n"/>
      <c r="D201" s="15" t="n"/>
      <c r="E201" s="15" t="n"/>
      <c r="F201" s="16" t="n"/>
      <c r="G201" s="17">
        <f>IFERROR($D201*$F201,"")</f>
        <v/>
      </c>
      <c r="H201" s="15" t="n"/>
      <c r="I201" s="18">
        <f>IFERROR($H201/$D201-1,"")</f>
        <v/>
      </c>
      <c r="J201" s="15" t="n"/>
      <c r="K201" s="19">
        <f>IF($A201="","",IFERROR(INDEX(学校マスタ!$G$2:$G$71,MATCH($A201,学校マスタ!$A$2:$A$71,0)),""))</f>
        <v/>
      </c>
      <c r="L201" s="17">
        <f>IF(OR($A201="",$H201="",$J201=""),"",IF($K201="なし",0,$H201-$J201))</f>
        <v/>
      </c>
      <c r="M201" s="16" t="n"/>
      <c r="N201" s="17">
        <f>IFERROR($L201*$M201,"")</f>
        <v/>
      </c>
      <c r="O201" s="20">
        <f>IFERROR($L201/$H201,"")</f>
        <v/>
      </c>
      <c r="P201" s="19">
        <f>IF($A201="","",IFERROR(INDEX(学校マスタ!$F$2:$F$71,MATCH($A201,学校マスタ!$A$2:$A$71,0)),""))</f>
        <v/>
      </c>
    </row>
    <row r="202">
      <c r="A202" s="6" t="n"/>
      <c r="B202" s="6" t="n"/>
      <c r="C202" s="6" t="n"/>
      <c r="D202" s="15" t="n"/>
      <c r="E202" s="15" t="n"/>
      <c r="F202" s="16" t="n"/>
      <c r="G202" s="17">
        <f>IFERROR($D202*$F202,"")</f>
        <v/>
      </c>
      <c r="H202" s="15" t="n"/>
      <c r="I202" s="18">
        <f>IFERROR($H202/$D202-1,"")</f>
        <v/>
      </c>
      <c r="J202" s="15" t="n"/>
      <c r="K202" s="19">
        <f>IF($A202="","",IFERROR(INDEX(学校マスタ!$G$2:$G$71,MATCH($A202,学校マスタ!$A$2:$A$71,0)),""))</f>
        <v/>
      </c>
      <c r="L202" s="17">
        <f>IF(OR($A202="",$H202="",$J202=""),"",IF($K202="なし",0,$H202-$J202))</f>
        <v/>
      </c>
      <c r="M202" s="16" t="n"/>
      <c r="N202" s="17">
        <f>IFERROR($L202*$M202,"")</f>
        <v/>
      </c>
      <c r="O202" s="20">
        <f>IFERROR($L202/$H202,"")</f>
        <v/>
      </c>
      <c r="P202" s="19">
        <f>IF($A202="","",IFERROR(INDEX(学校マスタ!$F$2:$F$71,MATCH($A202,学校マスタ!$A$2:$A$71,0)),""))</f>
        <v/>
      </c>
    </row>
    <row r="203">
      <c r="A203" s="6" t="n"/>
      <c r="B203" s="6" t="n"/>
      <c r="C203" s="6" t="n"/>
      <c r="D203" s="15" t="n"/>
      <c r="E203" s="15" t="n"/>
      <c r="F203" s="16" t="n"/>
      <c r="G203" s="17">
        <f>IFERROR($D203*$F203,"")</f>
        <v/>
      </c>
      <c r="H203" s="15" t="n"/>
      <c r="I203" s="18">
        <f>IFERROR($H203/$D203-1,"")</f>
        <v/>
      </c>
      <c r="J203" s="15" t="n"/>
      <c r="K203" s="19">
        <f>IF($A203="","",IFERROR(INDEX(学校マスタ!$G$2:$G$71,MATCH($A203,学校マスタ!$A$2:$A$71,0)),""))</f>
        <v/>
      </c>
      <c r="L203" s="17">
        <f>IF(OR($A203="",$H203="",$J203=""),"",IF($K203="なし",0,$H203-$J203))</f>
        <v/>
      </c>
      <c r="M203" s="16" t="n"/>
      <c r="N203" s="17">
        <f>IFERROR($L203*$M203,"")</f>
        <v/>
      </c>
      <c r="O203" s="20">
        <f>IFERROR($L203/$H203,"")</f>
        <v/>
      </c>
      <c r="P203" s="19">
        <f>IF($A203="","",IFERROR(INDEX(学校マスタ!$F$2:$F$71,MATCH($A203,学校マスタ!$A$2:$A$71,0)),""))</f>
        <v/>
      </c>
    </row>
    <row r="204">
      <c r="A204" s="6" t="n"/>
      <c r="B204" s="6" t="n"/>
      <c r="C204" s="6" t="n"/>
      <c r="D204" s="15" t="n"/>
      <c r="E204" s="15" t="n"/>
      <c r="F204" s="16" t="n"/>
      <c r="G204" s="17">
        <f>IFERROR($D204*$F204,"")</f>
        <v/>
      </c>
      <c r="H204" s="15" t="n"/>
      <c r="I204" s="18">
        <f>IFERROR($H204/$D204-1,"")</f>
        <v/>
      </c>
      <c r="J204" s="15" t="n"/>
      <c r="K204" s="19">
        <f>IF($A204="","",IFERROR(INDEX(学校マスタ!$G$2:$G$71,MATCH($A204,学校マスタ!$A$2:$A$71,0)),""))</f>
        <v/>
      </c>
      <c r="L204" s="17">
        <f>IF(OR($A204="",$H204="",$J204=""),"",IF($K204="なし",0,$H204-$J204))</f>
        <v/>
      </c>
      <c r="M204" s="16" t="n"/>
      <c r="N204" s="17">
        <f>IFERROR($L204*$M204,"")</f>
        <v/>
      </c>
      <c r="O204" s="20">
        <f>IFERROR($L204/$H204,"")</f>
        <v/>
      </c>
      <c r="P204" s="19">
        <f>IF($A204="","",IFERROR(INDEX(学校マスタ!$F$2:$F$71,MATCH($A204,学校マスタ!$A$2:$A$71,0)),""))</f>
        <v/>
      </c>
    </row>
    <row r="205">
      <c r="A205" s="6" t="n"/>
      <c r="B205" s="6" t="n"/>
      <c r="C205" s="6" t="n"/>
      <c r="D205" s="15" t="n"/>
      <c r="E205" s="15" t="n"/>
      <c r="F205" s="16" t="n"/>
      <c r="G205" s="17">
        <f>IFERROR($D205*$F205,"")</f>
        <v/>
      </c>
      <c r="H205" s="15" t="n"/>
      <c r="I205" s="18">
        <f>IFERROR($H205/$D205-1,"")</f>
        <v/>
      </c>
      <c r="J205" s="15" t="n"/>
      <c r="K205" s="19">
        <f>IF($A205="","",IFERROR(INDEX(学校マスタ!$G$2:$G$71,MATCH($A205,学校マスタ!$A$2:$A$71,0)),""))</f>
        <v/>
      </c>
      <c r="L205" s="17">
        <f>IF(OR($A205="",$H205="",$J205=""),"",IF($K205="なし",0,$H205-$J205))</f>
        <v/>
      </c>
      <c r="M205" s="16" t="n"/>
      <c r="N205" s="17">
        <f>IFERROR($L205*$M205,"")</f>
        <v/>
      </c>
      <c r="O205" s="20">
        <f>IFERROR($L205/$H205,"")</f>
        <v/>
      </c>
      <c r="P205" s="19">
        <f>IF($A205="","",IFERROR(INDEX(学校マスタ!$F$2:$F$71,MATCH($A205,学校マスタ!$A$2:$A$71,0)),""))</f>
        <v/>
      </c>
    </row>
    <row r="206">
      <c r="A206" s="6" t="n"/>
      <c r="B206" s="6" t="n"/>
      <c r="C206" s="6" t="n"/>
      <c r="D206" s="15" t="n"/>
      <c r="E206" s="15" t="n"/>
      <c r="F206" s="16" t="n"/>
      <c r="G206" s="17">
        <f>IFERROR($D206*$F206,"")</f>
        <v/>
      </c>
      <c r="H206" s="15" t="n"/>
      <c r="I206" s="18">
        <f>IFERROR($H206/$D206-1,"")</f>
        <v/>
      </c>
      <c r="J206" s="15" t="n"/>
      <c r="K206" s="19">
        <f>IF($A206="","",IFERROR(INDEX(学校マスタ!$G$2:$G$71,MATCH($A206,学校マスタ!$A$2:$A$71,0)),""))</f>
        <v/>
      </c>
      <c r="L206" s="17">
        <f>IF(OR($A206="",$H206="",$J206=""),"",IF($K206="なし",0,$H206-$J206))</f>
        <v/>
      </c>
      <c r="M206" s="16" t="n"/>
      <c r="N206" s="17">
        <f>IFERROR($L206*$M206,"")</f>
        <v/>
      </c>
      <c r="O206" s="20">
        <f>IFERROR($L206/$H206,"")</f>
        <v/>
      </c>
      <c r="P206" s="19">
        <f>IF($A206="","",IFERROR(INDEX(学校マスタ!$F$2:$F$71,MATCH($A206,学校マスタ!$A$2:$A$71,0)),""))</f>
        <v/>
      </c>
    </row>
    <row r="207">
      <c r="A207" s="6" t="n"/>
      <c r="B207" s="6" t="n"/>
      <c r="C207" s="6" t="n"/>
      <c r="D207" s="15" t="n"/>
      <c r="E207" s="15" t="n"/>
      <c r="F207" s="16" t="n"/>
      <c r="G207" s="17">
        <f>IFERROR($D207*$F207,"")</f>
        <v/>
      </c>
      <c r="H207" s="15" t="n"/>
      <c r="I207" s="18">
        <f>IFERROR($H207/$D207-1,"")</f>
        <v/>
      </c>
      <c r="J207" s="15" t="n"/>
      <c r="K207" s="19">
        <f>IF($A207="","",IFERROR(INDEX(学校マスタ!$G$2:$G$71,MATCH($A207,学校マスタ!$A$2:$A$71,0)),""))</f>
        <v/>
      </c>
      <c r="L207" s="17">
        <f>IF(OR($A207="",$H207="",$J207=""),"",IF($K207="なし",0,$H207-$J207))</f>
        <v/>
      </c>
      <c r="M207" s="16" t="n"/>
      <c r="N207" s="17">
        <f>IFERROR($L207*$M207,"")</f>
        <v/>
      </c>
      <c r="O207" s="20">
        <f>IFERROR($L207/$H207,"")</f>
        <v/>
      </c>
      <c r="P207" s="19">
        <f>IF($A207="","",IFERROR(INDEX(学校マスタ!$F$2:$F$71,MATCH($A207,学校マスタ!$A$2:$A$71,0)),""))</f>
        <v/>
      </c>
    </row>
    <row r="208">
      <c r="A208" s="6" t="n"/>
      <c r="B208" s="6" t="n"/>
      <c r="C208" s="6" t="n"/>
      <c r="D208" s="15" t="n"/>
      <c r="E208" s="15" t="n"/>
      <c r="F208" s="16" t="n"/>
      <c r="G208" s="17">
        <f>IFERROR($D208*$F208,"")</f>
        <v/>
      </c>
      <c r="H208" s="15" t="n"/>
      <c r="I208" s="18">
        <f>IFERROR($H208/$D208-1,"")</f>
        <v/>
      </c>
      <c r="J208" s="15" t="n"/>
      <c r="K208" s="19">
        <f>IF($A208="","",IFERROR(INDEX(学校マスタ!$G$2:$G$71,MATCH($A208,学校マスタ!$A$2:$A$71,0)),""))</f>
        <v/>
      </c>
      <c r="L208" s="17">
        <f>IF(OR($A208="",$H208="",$J208=""),"",IF($K208="なし",0,$H208-$J208))</f>
        <v/>
      </c>
      <c r="M208" s="16" t="n"/>
      <c r="N208" s="17">
        <f>IFERROR($L208*$M208,"")</f>
        <v/>
      </c>
      <c r="O208" s="20">
        <f>IFERROR($L208/$H208,"")</f>
        <v/>
      </c>
      <c r="P208" s="19">
        <f>IF($A208="","",IFERROR(INDEX(学校マスタ!$F$2:$F$71,MATCH($A208,学校マスタ!$A$2:$A$71,0)),""))</f>
        <v/>
      </c>
    </row>
    <row r="209">
      <c r="A209" s="6" t="n"/>
      <c r="B209" s="6" t="n"/>
      <c r="C209" s="6" t="n"/>
      <c r="D209" s="15" t="n"/>
      <c r="E209" s="15" t="n"/>
      <c r="F209" s="16" t="n"/>
      <c r="G209" s="17">
        <f>IFERROR($D209*$F209,"")</f>
        <v/>
      </c>
      <c r="H209" s="15" t="n"/>
      <c r="I209" s="18">
        <f>IFERROR($H209/$D209-1,"")</f>
        <v/>
      </c>
      <c r="J209" s="15" t="n"/>
      <c r="K209" s="19">
        <f>IF($A209="","",IFERROR(INDEX(学校マスタ!$G$2:$G$71,MATCH($A209,学校マスタ!$A$2:$A$71,0)),""))</f>
        <v/>
      </c>
      <c r="L209" s="17">
        <f>IF(OR($A209="",$H209="",$J209=""),"",IF($K209="なし",0,$H209-$J209))</f>
        <v/>
      </c>
      <c r="M209" s="16" t="n"/>
      <c r="N209" s="17">
        <f>IFERROR($L209*$M209,"")</f>
        <v/>
      </c>
      <c r="O209" s="20">
        <f>IFERROR($L209/$H209,"")</f>
        <v/>
      </c>
      <c r="P209" s="19">
        <f>IF($A209="","",IFERROR(INDEX(学校マスタ!$F$2:$F$71,MATCH($A209,学校マスタ!$A$2:$A$71,0)),""))</f>
        <v/>
      </c>
    </row>
    <row r="210">
      <c r="A210" s="6" t="n"/>
      <c r="B210" s="6" t="n"/>
      <c r="C210" s="6" t="n"/>
      <c r="D210" s="15" t="n"/>
      <c r="E210" s="15" t="n"/>
      <c r="F210" s="16" t="n"/>
      <c r="G210" s="17">
        <f>IFERROR($D210*$F210,"")</f>
        <v/>
      </c>
      <c r="H210" s="15" t="n"/>
      <c r="I210" s="18">
        <f>IFERROR($H210/$D210-1,"")</f>
        <v/>
      </c>
      <c r="J210" s="15" t="n"/>
      <c r="K210" s="19">
        <f>IF($A210="","",IFERROR(INDEX(学校マスタ!$G$2:$G$71,MATCH($A210,学校マスタ!$A$2:$A$71,0)),""))</f>
        <v/>
      </c>
      <c r="L210" s="17">
        <f>IF(OR($A210="",$H210="",$J210=""),"",IF($K210="なし",0,$H210-$J210))</f>
        <v/>
      </c>
      <c r="M210" s="16" t="n"/>
      <c r="N210" s="17">
        <f>IFERROR($L210*$M210,"")</f>
        <v/>
      </c>
      <c r="O210" s="20">
        <f>IFERROR($L210/$H210,"")</f>
        <v/>
      </c>
      <c r="P210" s="19">
        <f>IF($A210="","",IFERROR(INDEX(学校マスタ!$F$2:$F$71,MATCH($A210,学校マスタ!$A$2:$A$71,0)),""))</f>
        <v/>
      </c>
    </row>
    <row r="211">
      <c r="A211" s="6" t="n"/>
      <c r="B211" s="6" t="n"/>
      <c r="C211" s="6" t="n"/>
      <c r="D211" s="15" t="n"/>
      <c r="E211" s="15" t="n"/>
      <c r="F211" s="16" t="n"/>
      <c r="G211" s="17">
        <f>IFERROR($D211*$F211,"")</f>
        <v/>
      </c>
      <c r="H211" s="15" t="n"/>
      <c r="I211" s="18">
        <f>IFERROR($H211/$D211-1,"")</f>
        <v/>
      </c>
      <c r="J211" s="15" t="n"/>
      <c r="K211" s="19">
        <f>IF($A211="","",IFERROR(INDEX(学校マスタ!$G$2:$G$71,MATCH($A211,学校マスタ!$A$2:$A$71,0)),""))</f>
        <v/>
      </c>
      <c r="L211" s="17">
        <f>IF(OR($A211="",$H211="",$J211=""),"",IF($K211="なし",0,$H211-$J211))</f>
        <v/>
      </c>
      <c r="M211" s="16" t="n"/>
      <c r="N211" s="17">
        <f>IFERROR($L211*$M211,"")</f>
        <v/>
      </c>
      <c r="O211" s="20">
        <f>IFERROR($L211/$H211,"")</f>
        <v/>
      </c>
      <c r="P211" s="19">
        <f>IF($A211="","",IFERROR(INDEX(学校マスタ!$F$2:$F$71,MATCH($A211,学校マスタ!$A$2:$A$71,0)),""))</f>
        <v/>
      </c>
    </row>
    <row r="212">
      <c r="A212" s="6" t="n"/>
      <c r="B212" s="6" t="n"/>
      <c r="C212" s="6" t="n"/>
      <c r="D212" s="15" t="n"/>
      <c r="E212" s="15" t="n"/>
      <c r="F212" s="16" t="n"/>
      <c r="G212" s="17">
        <f>IFERROR($D212*$F212,"")</f>
        <v/>
      </c>
      <c r="H212" s="15" t="n"/>
      <c r="I212" s="18">
        <f>IFERROR($H212/$D212-1,"")</f>
        <v/>
      </c>
      <c r="J212" s="15" t="n"/>
      <c r="K212" s="19">
        <f>IF($A212="","",IFERROR(INDEX(学校マスタ!$G$2:$G$71,MATCH($A212,学校マスタ!$A$2:$A$71,0)),""))</f>
        <v/>
      </c>
      <c r="L212" s="17">
        <f>IF(OR($A212="",$H212="",$J212=""),"",IF($K212="なし",0,$H212-$J212))</f>
        <v/>
      </c>
      <c r="M212" s="16" t="n"/>
      <c r="N212" s="17">
        <f>IFERROR($L212*$M212,"")</f>
        <v/>
      </c>
      <c r="O212" s="20">
        <f>IFERROR($L212/$H212,"")</f>
        <v/>
      </c>
      <c r="P212" s="19">
        <f>IF($A212="","",IFERROR(INDEX(学校マスタ!$F$2:$F$71,MATCH($A212,学校マスタ!$A$2:$A$71,0)),""))</f>
        <v/>
      </c>
    </row>
    <row r="213">
      <c r="A213" s="6" t="n"/>
      <c r="B213" s="6" t="n"/>
      <c r="C213" s="6" t="n"/>
      <c r="D213" s="15" t="n"/>
      <c r="E213" s="15" t="n"/>
      <c r="F213" s="16" t="n"/>
      <c r="G213" s="17">
        <f>IFERROR($D213*$F213,"")</f>
        <v/>
      </c>
      <c r="H213" s="15" t="n"/>
      <c r="I213" s="18">
        <f>IFERROR($H213/$D213-1,"")</f>
        <v/>
      </c>
      <c r="J213" s="15" t="n"/>
      <c r="K213" s="19">
        <f>IF($A213="","",IFERROR(INDEX(学校マスタ!$G$2:$G$71,MATCH($A213,学校マスタ!$A$2:$A$71,0)),""))</f>
        <v/>
      </c>
      <c r="L213" s="17">
        <f>IF(OR($A213="",$H213="",$J213=""),"",IF($K213="なし",0,$H213-$J213))</f>
        <v/>
      </c>
      <c r="M213" s="16" t="n"/>
      <c r="N213" s="17">
        <f>IFERROR($L213*$M213,"")</f>
        <v/>
      </c>
      <c r="O213" s="20">
        <f>IFERROR($L213/$H213,"")</f>
        <v/>
      </c>
      <c r="P213" s="19">
        <f>IF($A213="","",IFERROR(INDEX(学校マスタ!$F$2:$F$71,MATCH($A213,学校マスタ!$A$2:$A$71,0)),""))</f>
        <v/>
      </c>
    </row>
    <row r="214">
      <c r="A214" s="6" t="n"/>
      <c r="B214" s="6" t="n"/>
      <c r="C214" s="6" t="n"/>
      <c r="D214" s="15" t="n"/>
      <c r="E214" s="15" t="n"/>
      <c r="F214" s="16" t="n"/>
      <c r="G214" s="17">
        <f>IFERROR($D214*$F214,"")</f>
        <v/>
      </c>
      <c r="H214" s="15" t="n"/>
      <c r="I214" s="18">
        <f>IFERROR($H214/$D214-1,"")</f>
        <v/>
      </c>
      <c r="J214" s="15" t="n"/>
      <c r="K214" s="19">
        <f>IF($A214="","",IFERROR(INDEX(学校マスタ!$G$2:$G$71,MATCH($A214,学校マスタ!$A$2:$A$71,0)),""))</f>
        <v/>
      </c>
      <c r="L214" s="17">
        <f>IF(OR($A214="",$H214="",$J214=""),"",IF($K214="なし",0,$H214-$J214))</f>
        <v/>
      </c>
      <c r="M214" s="16" t="n"/>
      <c r="N214" s="17">
        <f>IFERROR($L214*$M214,"")</f>
        <v/>
      </c>
      <c r="O214" s="20">
        <f>IFERROR($L214/$H214,"")</f>
        <v/>
      </c>
      <c r="P214" s="19">
        <f>IF($A214="","",IFERROR(INDEX(学校マスタ!$F$2:$F$71,MATCH($A214,学校マスタ!$A$2:$A$71,0)),""))</f>
        <v/>
      </c>
    </row>
    <row r="215">
      <c r="A215" s="6" t="n"/>
      <c r="B215" s="6" t="n"/>
      <c r="C215" s="6" t="n"/>
      <c r="D215" s="15" t="n"/>
      <c r="E215" s="15" t="n"/>
      <c r="F215" s="16" t="n"/>
      <c r="G215" s="17">
        <f>IFERROR($D215*$F215,"")</f>
        <v/>
      </c>
      <c r="H215" s="15" t="n"/>
      <c r="I215" s="18">
        <f>IFERROR($H215/$D215-1,"")</f>
        <v/>
      </c>
      <c r="J215" s="15" t="n"/>
      <c r="K215" s="19">
        <f>IF($A215="","",IFERROR(INDEX(学校マスタ!$G$2:$G$71,MATCH($A215,学校マスタ!$A$2:$A$71,0)),""))</f>
        <v/>
      </c>
      <c r="L215" s="17">
        <f>IF(OR($A215="",$H215="",$J215=""),"",IF($K215="なし",0,$H215-$J215))</f>
        <v/>
      </c>
      <c r="M215" s="16" t="n"/>
      <c r="N215" s="17">
        <f>IFERROR($L215*$M215,"")</f>
        <v/>
      </c>
      <c r="O215" s="20">
        <f>IFERROR($L215/$H215,"")</f>
        <v/>
      </c>
      <c r="P215" s="19">
        <f>IF($A215="","",IFERROR(INDEX(学校マスタ!$F$2:$F$71,MATCH($A215,学校マスタ!$A$2:$A$71,0)),""))</f>
        <v/>
      </c>
    </row>
    <row r="216">
      <c r="A216" s="6" t="n"/>
      <c r="B216" s="6" t="n"/>
      <c r="C216" s="6" t="n"/>
      <c r="D216" s="15" t="n"/>
      <c r="E216" s="15" t="n"/>
      <c r="F216" s="16" t="n"/>
      <c r="G216" s="17">
        <f>IFERROR($D216*$F216,"")</f>
        <v/>
      </c>
      <c r="H216" s="15" t="n"/>
      <c r="I216" s="18">
        <f>IFERROR($H216/$D216-1,"")</f>
        <v/>
      </c>
      <c r="J216" s="15" t="n"/>
      <c r="K216" s="19">
        <f>IF($A216="","",IFERROR(INDEX(学校マスタ!$G$2:$G$71,MATCH($A216,学校マスタ!$A$2:$A$71,0)),""))</f>
        <v/>
      </c>
      <c r="L216" s="17">
        <f>IF(OR($A216="",$H216="",$J216=""),"",IF($K216="なし",0,$H216-$J216))</f>
        <v/>
      </c>
      <c r="M216" s="16" t="n"/>
      <c r="N216" s="17">
        <f>IFERROR($L216*$M216,"")</f>
        <v/>
      </c>
      <c r="O216" s="20">
        <f>IFERROR($L216/$H216,"")</f>
        <v/>
      </c>
      <c r="P216" s="19">
        <f>IF($A216="","",IFERROR(INDEX(学校マスタ!$F$2:$F$71,MATCH($A216,学校マスタ!$A$2:$A$71,0)),""))</f>
        <v/>
      </c>
    </row>
    <row r="217">
      <c r="A217" s="6" t="n"/>
      <c r="B217" s="6" t="n"/>
      <c r="C217" s="6" t="n"/>
      <c r="D217" s="15" t="n"/>
      <c r="E217" s="15" t="n"/>
      <c r="F217" s="16" t="n"/>
      <c r="G217" s="17">
        <f>IFERROR($D217*$F217,"")</f>
        <v/>
      </c>
      <c r="H217" s="15" t="n"/>
      <c r="I217" s="18">
        <f>IFERROR($H217/$D217-1,"")</f>
        <v/>
      </c>
      <c r="J217" s="15" t="n"/>
      <c r="K217" s="19">
        <f>IF($A217="","",IFERROR(INDEX(学校マスタ!$G$2:$G$71,MATCH($A217,学校マスタ!$A$2:$A$71,0)),""))</f>
        <v/>
      </c>
      <c r="L217" s="17">
        <f>IF(OR($A217="",$H217="",$J217=""),"",IF($K217="なし",0,$H217-$J217))</f>
        <v/>
      </c>
      <c r="M217" s="16" t="n"/>
      <c r="N217" s="17">
        <f>IFERROR($L217*$M217,"")</f>
        <v/>
      </c>
      <c r="O217" s="20">
        <f>IFERROR($L217/$H217,"")</f>
        <v/>
      </c>
      <c r="P217" s="19">
        <f>IF($A217="","",IFERROR(INDEX(学校マスタ!$F$2:$F$71,MATCH($A217,学校マスタ!$A$2:$A$71,0)),""))</f>
        <v/>
      </c>
    </row>
    <row r="218">
      <c r="A218" s="6" t="n"/>
      <c r="B218" s="6" t="n"/>
      <c r="C218" s="6" t="n"/>
      <c r="D218" s="15" t="n"/>
      <c r="E218" s="15" t="n"/>
      <c r="F218" s="16" t="n"/>
      <c r="G218" s="17">
        <f>IFERROR($D218*$F218,"")</f>
        <v/>
      </c>
      <c r="H218" s="15" t="n"/>
      <c r="I218" s="18">
        <f>IFERROR($H218/$D218-1,"")</f>
        <v/>
      </c>
      <c r="J218" s="15" t="n"/>
      <c r="K218" s="19">
        <f>IF($A218="","",IFERROR(INDEX(学校マスタ!$G$2:$G$71,MATCH($A218,学校マスタ!$A$2:$A$71,0)),""))</f>
        <v/>
      </c>
      <c r="L218" s="17">
        <f>IF(OR($A218="",$H218="",$J218=""),"",IF($K218="なし",0,$H218-$J218))</f>
        <v/>
      </c>
      <c r="M218" s="16" t="n"/>
      <c r="N218" s="17">
        <f>IFERROR($L218*$M218,"")</f>
        <v/>
      </c>
      <c r="O218" s="20">
        <f>IFERROR($L218/$H218,"")</f>
        <v/>
      </c>
      <c r="P218" s="19">
        <f>IF($A218="","",IFERROR(INDEX(学校マスタ!$F$2:$F$71,MATCH($A218,学校マスタ!$A$2:$A$71,0)),""))</f>
        <v/>
      </c>
    </row>
    <row r="219">
      <c r="A219" s="6" t="n"/>
      <c r="B219" s="6" t="n"/>
      <c r="C219" s="6" t="n"/>
      <c r="D219" s="15" t="n"/>
      <c r="E219" s="15" t="n"/>
      <c r="F219" s="16" t="n"/>
      <c r="G219" s="17">
        <f>IFERROR($D219*$F219,"")</f>
        <v/>
      </c>
      <c r="H219" s="15" t="n"/>
      <c r="I219" s="18">
        <f>IFERROR($H219/$D219-1,"")</f>
        <v/>
      </c>
      <c r="J219" s="15" t="n"/>
      <c r="K219" s="19">
        <f>IF($A219="","",IFERROR(INDEX(学校マスタ!$G$2:$G$71,MATCH($A219,学校マスタ!$A$2:$A$71,0)),""))</f>
        <v/>
      </c>
      <c r="L219" s="17">
        <f>IF(OR($A219="",$H219="",$J219=""),"",IF($K219="なし",0,$H219-$J219))</f>
        <v/>
      </c>
      <c r="M219" s="16" t="n"/>
      <c r="N219" s="17">
        <f>IFERROR($L219*$M219,"")</f>
        <v/>
      </c>
      <c r="O219" s="20">
        <f>IFERROR($L219/$H219,"")</f>
        <v/>
      </c>
      <c r="P219" s="19">
        <f>IF($A219="","",IFERROR(INDEX(学校マスタ!$F$2:$F$71,MATCH($A219,学校マスタ!$A$2:$A$71,0)),""))</f>
        <v/>
      </c>
    </row>
    <row r="220">
      <c r="A220" s="6" t="n"/>
      <c r="B220" s="6" t="n"/>
      <c r="C220" s="6" t="n"/>
      <c r="D220" s="15" t="n"/>
      <c r="E220" s="15" t="n"/>
      <c r="F220" s="16" t="n"/>
      <c r="G220" s="17">
        <f>IFERROR($D220*$F220,"")</f>
        <v/>
      </c>
      <c r="H220" s="15" t="n"/>
      <c r="I220" s="18">
        <f>IFERROR($H220/$D220-1,"")</f>
        <v/>
      </c>
      <c r="J220" s="15" t="n"/>
      <c r="K220" s="19">
        <f>IF($A220="","",IFERROR(INDEX(学校マスタ!$G$2:$G$71,MATCH($A220,学校マスタ!$A$2:$A$71,0)),""))</f>
        <v/>
      </c>
      <c r="L220" s="17">
        <f>IF(OR($A220="",$H220="",$J220=""),"",IF($K220="なし",0,$H220-$J220))</f>
        <v/>
      </c>
      <c r="M220" s="16" t="n"/>
      <c r="N220" s="17">
        <f>IFERROR($L220*$M220,"")</f>
        <v/>
      </c>
      <c r="O220" s="20">
        <f>IFERROR($L220/$H220,"")</f>
        <v/>
      </c>
      <c r="P220" s="19">
        <f>IF($A220="","",IFERROR(INDEX(学校マスタ!$F$2:$F$71,MATCH($A220,学校マスタ!$A$2:$A$71,0)),""))</f>
        <v/>
      </c>
    </row>
    <row r="221">
      <c r="A221" s="6" t="n"/>
      <c r="B221" s="6" t="n"/>
      <c r="C221" s="6" t="n"/>
      <c r="D221" s="15" t="n"/>
      <c r="E221" s="15" t="n"/>
      <c r="F221" s="16" t="n"/>
      <c r="G221" s="17">
        <f>IFERROR($D221*$F221,"")</f>
        <v/>
      </c>
      <c r="H221" s="15" t="n"/>
      <c r="I221" s="18">
        <f>IFERROR($H221/$D221-1,"")</f>
        <v/>
      </c>
      <c r="J221" s="15" t="n"/>
      <c r="K221" s="19">
        <f>IF($A221="","",IFERROR(INDEX(学校マスタ!$G$2:$G$71,MATCH($A221,学校マスタ!$A$2:$A$71,0)),""))</f>
        <v/>
      </c>
      <c r="L221" s="17">
        <f>IF(OR($A221="",$H221="",$J221=""),"",IF($K221="なし",0,$H221-$J221))</f>
        <v/>
      </c>
      <c r="M221" s="16" t="n"/>
      <c r="N221" s="17">
        <f>IFERROR($L221*$M221,"")</f>
        <v/>
      </c>
      <c r="O221" s="20">
        <f>IFERROR($L221/$H221,"")</f>
        <v/>
      </c>
      <c r="P221" s="19">
        <f>IF($A221="","",IFERROR(INDEX(学校マスタ!$F$2:$F$71,MATCH($A221,学校マスタ!$A$2:$A$71,0)),""))</f>
        <v/>
      </c>
    </row>
    <row r="222">
      <c r="A222" s="6" t="n"/>
      <c r="B222" s="6" t="n"/>
      <c r="C222" s="6" t="n"/>
      <c r="D222" s="15" t="n"/>
      <c r="E222" s="15" t="n"/>
      <c r="F222" s="16" t="n"/>
      <c r="G222" s="17">
        <f>IFERROR($D222*$F222,"")</f>
        <v/>
      </c>
      <c r="H222" s="15" t="n"/>
      <c r="I222" s="18">
        <f>IFERROR($H222/$D222-1,"")</f>
        <v/>
      </c>
      <c r="J222" s="15" t="n"/>
      <c r="K222" s="19">
        <f>IF($A222="","",IFERROR(INDEX(学校マスタ!$G$2:$G$71,MATCH($A222,学校マスタ!$A$2:$A$71,0)),""))</f>
        <v/>
      </c>
      <c r="L222" s="17">
        <f>IF(OR($A222="",$H222="",$J222=""),"",IF($K222="なし",0,$H222-$J222))</f>
        <v/>
      </c>
      <c r="M222" s="16" t="n"/>
      <c r="N222" s="17">
        <f>IFERROR($L222*$M222,"")</f>
        <v/>
      </c>
      <c r="O222" s="20">
        <f>IFERROR($L222/$H222,"")</f>
        <v/>
      </c>
      <c r="P222" s="19">
        <f>IF($A222="","",IFERROR(INDEX(学校マスタ!$F$2:$F$71,MATCH($A222,学校マスタ!$A$2:$A$71,0)),""))</f>
        <v/>
      </c>
    </row>
    <row r="223">
      <c r="A223" s="6" t="n"/>
      <c r="B223" s="6" t="n"/>
      <c r="C223" s="6" t="n"/>
      <c r="D223" s="15" t="n"/>
      <c r="E223" s="15" t="n"/>
      <c r="F223" s="16" t="n"/>
      <c r="G223" s="17">
        <f>IFERROR($D223*$F223,"")</f>
        <v/>
      </c>
      <c r="H223" s="15" t="n"/>
      <c r="I223" s="18">
        <f>IFERROR($H223/$D223-1,"")</f>
        <v/>
      </c>
      <c r="J223" s="15" t="n"/>
      <c r="K223" s="19">
        <f>IF($A223="","",IFERROR(INDEX(学校マスタ!$G$2:$G$71,MATCH($A223,学校マスタ!$A$2:$A$71,0)),""))</f>
        <v/>
      </c>
      <c r="L223" s="17">
        <f>IF(OR($A223="",$H223="",$J223=""),"",IF($K223="なし",0,$H223-$J223))</f>
        <v/>
      </c>
      <c r="M223" s="16" t="n"/>
      <c r="N223" s="17">
        <f>IFERROR($L223*$M223,"")</f>
        <v/>
      </c>
      <c r="O223" s="20">
        <f>IFERROR($L223/$H223,"")</f>
        <v/>
      </c>
      <c r="P223" s="19">
        <f>IF($A223="","",IFERROR(INDEX(学校マスタ!$F$2:$F$71,MATCH($A223,学校マスタ!$A$2:$A$71,0)),""))</f>
        <v/>
      </c>
    </row>
    <row r="224">
      <c r="A224" s="6" t="n"/>
      <c r="B224" s="6" t="n"/>
      <c r="C224" s="6" t="n"/>
      <c r="D224" s="15" t="n"/>
      <c r="E224" s="15" t="n"/>
      <c r="F224" s="16" t="n"/>
      <c r="G224" s="17">
        <f>IFERROR($D224*$F224,"")</f>
        <v/>
      </c>
      <c r="H224" s="15" t="n"/>
      <c r="I224" s="18">
        <f>IFERROR($H224/$D224-1,"")</f>
        <v/>
      </c>
      <c r="J224" s="15" t="n"/>
      <c r="K224" s="19">
        <f>IF($A224="","",IFERROR(INDEX(学校マスタ!$G$2:$G$71,MATCH($A224,学校マスタ!$A$2:$A$71,0)),""))</f>
        <v/>
      </c>
      <c r="L224" s="17">
        <f>IF(OR($A224="",$H224="",$J224=""),"",IF($K224="なし",0,$H224-$J224))</f>
        <v/>
      </c>
      <c r="M224" s="16" t="n"/>
      <c r="N224" s="17">
        <f>IFERROR($L224*$M224,"")</f>
        <v/>
      </c>
      <c r="O224" s="20">
        <f>IFERROR($L224/$H224,"")</f>
        <v/>
      </c>
      <c r="P224" s="19">
        <f>IF($A224="","",IFERROR(INDEX(学校マスタ!$F$2:$F$71,MATCH($A224,学校マスタ!$A$2:$A$71,0)),""))</f>
        <v/>
      </c>
    </row>
    <row r="225">
      <c r="A225" s="6" t="n"/>
      <c r="B225" s="6" t="n"/>
      <c r="C225" s="6" t="n"/>
      <c r="D225" s="15" t="n"/>
      <c r="E225" s="15" t="n"/>
      <c r="F225" s="16" t="n"/>
      <c r="G225" s="17">
        <f>IFERROR($D225*$F225,"")</f>
        <v/>
      </c>
      <c r="H225" s="15" t="n"/>
      <c r="I225" s="18">
        <f>IFERROR($H225/$D225-1,"")</f>
        <v/>
      </c>
      <c r="J225" s="15" t="n"/>
      <c r="K225" s="19">
        <f>IF($A225="","",IFERROR(INDEX(学校マスタ!$G$2:$G$71,MATCH($A225,学校マスタ!$A$2:$A$71,0)),""))</f>
        <v/>
      </c>
      <c r="L225" s="17">
        <f>IF(OR($A225="",$H225="",$J225=""),"",IF($K225="なし",0,$H225-$J225))</f>
        <v/>
      </c>
      <c r="M225" s="16" t="n"/>
      <c r="N225" s="17">
        <f>IFERROR($L225*$M225,"")</f>
        <v/>
      </c>
      <c r="O225" s="20">
        <f>IFERROR($L225/$H225,"")</f>
        <v/>
      </c>
      <c r="P225" s="19">
        <f>IF($A225="","",IFERROR(INDEX(学校マスタ!$F$2:$F$71,MATCH($A225,学校マスタ!$A$2:$A$71,0)),""))</f>
        <v/>
      </c>
    </row>
    <row r="226">
      <c r="A226" s="6" t="n"/>
      <c r="B226" s="6" t="n"/>
      <c r="C226" s="6" t="n"/>
      <c r="D226" s="15" t="n"/>
      <c r="E226" s="15" t="n"/>
      <c r="F226" s="16" t="n"/>
      <c r="G226" s="17">
        <f>IFERROR($D226*$F226,"")</f>
        <v/>
      </c>
      <c r="H226" s="15" t="n"/>
      <c r="I226" s="18">
        <f>IFERROR($H226/$D226-1,"")</f>
        <v/>
      </c>
      <c r="J226" s="15" t="n"/>
      <c r="K226" s="19">
        <f>IF($A226="","",IFERROR(INDEX(学校マスタ!$G$2:$G$71,MATCH($A226,学校マスタ!$A$2:$A$71,0)),""))</f>
        <v/>
      </c>
      <c r="L226" s="17">
        <f>IF(OR($A226="",$H226="",$J226=""),"",IF($K226="なし",0,$H226-$J226))</f>
        <v/>
      </c>
      <c r="M226" s="16" t="n"/>
      <c r="N226" s="17">
        <f>IFERROR($L226*$M226,"")</f>
        <v/>
      </c>
      <c r="O226" s="20">
        <f>IFERROR($L226/$H226,"")</f>
        <v/>
      </c>
      <c r="P226" s="19">
        <f>IF($A226="","",IFERROR(INDEX(学校マスタ!$F$2:$F$71,MATCH($A226,学校マスタ!$A$2:$A$71,0)),""))</f>
        <v/>
      </c>
    </row>
    <row r="227">
      <c r="A227" s="6" t="n"/>
      <c r="B227" s="6" t="n"/>
      <c r="C227" s="6" t="n"/>
      <c r="D227" s="15" t="n"/>
      <c r="E227" s="15" t="n"/>
      <c r="F227" s="16" t="n"/>
      <c r="G227" s="17">
        <f>IFERROR($D227*$F227,"")</f>
        <v/>
      </c>
      <c r="H227" s="15" t="n"/>
      <c r="I227" s="18">
        <f>IFERROR($H227/$D227-1,"")</f>
        <v/>
      </c>
      <c r="J227" s="15" t="n"/>
      <c r="K227" s="19">
        <f>IF($A227="","",IFERROR(INDEX(学校マスタ!$G$2:$G$71,MATCH($A227,学校マスタ!$A$2:$A$71,0)),""))</f>
        <v/>
      </c>
      <c r="L227" s="17">
        <f>IF(OR($A227="",$H227="",$J227=""),"",IF($K227="なし",0,$H227-$J227))</f>
        <v/>
      </c>
      <c r="M227" s="16" t="n"/>
      <c r="N227" s="17">
        <f>IFERROR($L227*$M227,"")</f>
        <v/>
      </c>
      <c r="O227" s="20">
        <f>IFERROR($L227/$H227,"")</f>
        <v/>
      </c>
      <c r="P227" s="19">
        <f>IF($A227="","",IFERROR(INDEX(学校マスタ!$F$2:$F$71,MATCH($A227,学校マスタ!$A$2:$A$71,0)),""))</f>
        <v/>
      </c>
    </row>
    <row r="228">
      <c r="A228" s="6" t="n"/>
      <c r="B228" s="6" t="n"/>
      <c r="C228" s="6" t="n"/>
      <c r="D228" s="15" t="n"/>
      <c r="E228" s="15" t="n"/>
      <c r="F228" s="16" t="n"/>
      <c r="G228" s="17">
        <f>IFERROR($D228*$F228,"")</f>
        <v/>
      </c>
      <c r="H228" s="15" t="n"/>
      <c r="I228" s="18">
        <f>IFERROR($H228/$D228-1,"")</f>
        <v/>
      </c>
      <c r="J228" s="15" t="n"/>
      <c r="K228" s="19">
        <f>IF($A228="","",IFERROR(INDEX(学校マスタ!$G$2:$G$71,MATCH($A228,学校マスタ!$A$2:$A$71,0)),""))</f>
        <v/>
      </c>
      <c r="L228" s="17">
        <f>IF(OR($A228="",$H228="",$J228=""),"",IF($K228="なし",0,$H228-$J228))</f>
        <v/>
      </c>
      <c r="M228" s="16" t="n"/>
      <c r="N228" s="17">
        <f>IFERROR($L228*$M228,"")</f>
        <v/>
      </c>
      <c r="O228" s="20">
        <f>IFERROR($L228/$H228,"")</f>
        <v/>
      </c>
      <c r="P228" s="19">
        <f>IF($A228="","",IFERROR(INDEX(学校マスタ!$F$2:$F$71,MATCH($A228,学校マスタ!$A$2:$A$71,0)),""))</f>
        <v/>
      </c>
    </row>
    <row r="229">
      <c r="A229" s="6" t="n"/>
      <c r="B229" s="6" t="n"/>
      <c r="C229" s="6" t="n"/>
      <c r="D229" s="15" t="n"/>
      <c r="E229" s="15" t="n"/>
      <c r="F229" s="16" t="n"/>
      <c r="G229" s="17">
        <f>IFERROR($D229*$F229,"")</f>
        <v/>
      </c>
      <c r="H229" s="15" t="n"/>
      <c r="I229" s="18">
        <f>IFERROR($H229/$D229-1,"")</f>
        <v/>
      </c>
      <c r="J229" s="15" t="n"/>
      <c r="K229" s="19">
        <f>IF($A229="","",IFERROR(INDEX(学校マスタ!$G$2:$G$71,MATCH($A229,学校マスタ!$A$2:$A$71,0)),""))</f>
        <v/>
      </c>
      <c r="L229" s="17">
        <f>IF(OR($A229="",$H229="",$J229=""),"",IF($K229="なし",0,$H229-$J229))</f>
        <v/>
      </c>
      <c r="M229" s="16" t="n"/>
      <c r="N229" s="17">
        <f>IFERROR($L229*$M229,"")</f>
        <v/>
      </c>
      <c r="O229" s="20">
        <f>IFERROR($L229/$H229,"")</f>
        <v/>
      </c>
      <c r="P229" s="19">
        <f>IF($A229="","",IFERROR(INDEX(学校マスタ!$F$2:$F$71,MATCH($A229,学校マスタ!$A$2:$A$71,0)),""))</f>
        <v/>
      </c>
    </row>
    <row r="230">
      <c r="A230" s="6" t="n"/>
      <c r="B230" s="6" t="n"/>
      <c r="C230" s="6" t="n"/>
      <c r="D230" s="15" t="n"/>
      <c r="E230" s="15" t="n"/>
      <c r="F230" s="16" t="n"/>
      <c r="G230" s="17">
        <f>IFERROR($D230*$F230,"")</f>
        <v/>
      </c>
      <c r="H230" s="15" t="n"/>
      <c r="I230" s="18">
        <f>IFERROR($H230/$D230-1,"")</f>
        <v/>
      </c>
      <c r="J230" s="15" t="n"/>
      <c r="K230" s="19">
        <f>IF($A230="","",IFERROR(INDEX(学校マスタ!$G$2:$G$71,MATCH($A230,学校マスタ!$A$2:$A$71,0)),""))</f>
        <v/>
      </c>
      <c r="L230" s="17">
        <f>IF(OR($A230="",$H230="",$J230=""),"",IF($K230="なし",0,$H230-$J230))</f>
        <v/>
      </c>
      <c r="M230" s="16" t="n"/>
      <c r="N230" s="17">
        <f>IFERROR($L230*$M230,"")</f>
        <v/>
      </c>
      <c r="O230" s="20">
        <f>IFERROR($L230/$H230,"")</f>
        <v/>
      </c>
      <c r="P230" s="19">
        <f>IF($A230="","",IFERROR(INDEX(学校マスタ!$F$2:$F$71,MATCH($A230,学校マスタ!$A$2:$A$71,0)),""))</f>
        <v/>
      </c>
    </row>
    <row r="231">
      <c r="A231" s="6" t="n"/>
      <c r="B231" s="6" t="n"/>
      <c r="C231" s="6" t="n"/>
      <c r="D231" s="15" t="n"/>
      <c r="E231" s="15" t="n"/>
      <c r="F231" s="16" t="n"/>
      <c r="G231" s="17">
        <f>IFERROR($D231*$F231,"")</f>
        <v/>
      </c>
      <c r="H231" s="15" t="n"/>
      <c r="I231" s="18">
        <f>IFERROR($H231/$D231-1,"")</f>
        <v/>
      </c>
      <c r="J231" s="15" t="n"/>
      <c r="K231" s="19">
        <f>IF($A231="","",IFERROR(INDEX(学校マスタ!$G$2:$G$71,MATCH($A231,学校マスタ!$A$2:$A$71,0)),""))</f>
        <v/>
      </c>
      <c r="L231" s="17">
        <f>IF(OR($A231="",$H231="",$J231=""),"",IF($K231="なし",0,$H231-$J231))</f>
        <v/>
      </c>
      <c r="M231" s="16" t="n"/>
      <c r="N231" s="17">
        <f>IFERROR($L231*$M231,"")</f>
        <v/>
      </c>
      <c r="O231" s="20">
        <f>IFERROR($L231/$H231,"")</f>
        <v/>
      </c>
      <c r="P231" s="19">
        <f>IF($A231="","",IFERROR(INDEX(学校マスタ!$F$2:$F$71,MATCH($A231,学校マスタ!$A$2:$A$71,0)),""))</f>
        <v/>
      </c>
    </row>
    <row r="232">
      <c r="A232" s="6" t="n"/>
      <c r="B232" s="6" t="n"/>
      <c r="C232" s="6" t="n"/>
      <c r="D232" s="15" t="n"/>
      <c r="E232" s="15" t="n"/>
      <c r="F232" s="16" t="n"/>
      <c r="G232" s="17">
        <f>IFERROR($D232*$F232,"")</f>
        <v/>
      </c>
      <c r="H232" s="15" t="n"/>
      <c r="I232" s="18">
        <f>IFERROR($H232/$D232-1,"")</f>
        <v/>
      </c>
      <c r="J232" s="15" t="n"/>
      <c r="K232" s="19">
        <f>IF($A232="","",IFERROR(INDEX(学校マスタ!$G$2:$G$71,MATCH($A232,学校マスタ!$A$2:$A$71,0)),""))</f>
        <v/>
      </c>
      <c r="L232" s="17">
        <f>IF(OR($A232="",$H232="",$J232=""),"",IF($K232="なし",0,$H232-$J232))</f>
        <v/>
      </c>
      <c r="M232" s="16" t="n"/>
      <c r="N232" s="17">
        <f>IFERROR($L232*$M232,"")</f>
        <v/>
      </c>
      <c r="O232" s="20">
        <f>IFERROR($L232/$H232,"")</f>
        <v/>
      </c>
      <c r="P232" s="19">
        <f>IF($A232="","",IFERROR(INDEX(学校マスタ!$F$2:$F$71,MATCH($A232,学校マスタ!$A$2:$A$71,0)),""))</f>
        <v/>
      </c>
    </row>
    <row r="233">
      <c r="A233" s="6" t="n"/>
      <c r="B233" s="6" t="n"/>
      <c r="C233" s="6" t="n"/>
      <c r="D233" s="15" t="n"/>
      <c r="E233" s="15" t="n"/>
      <c r="F233" s="16" t="n"/>
      <c r="G233" s="17">
        <f>IFERROR($D233*$F233,"")</f>
        <v/>
      </c>
      <c r="H233" s="15" t="n"/>
      <c r="I233" s="18">
        <f>IFERROR($H233/$D233-1,"")</f>
        <v/>
      </c>
      <c r="J233" s="15" t="n"/>
      <c r="K233" s="19">
        <f>IF($A233="","",IFERROR(INDEX(学校マスタ!$G$2:$G$71,MATCH($A233,学校マスタ!$A$2:$A$71,0)),""))</f>
        <v/>
      </c>
      <c r="L233" s="17">
        <f>IF(OR($A233="",$H233="",$J233=""),"",IF($K233="なし",0,$H233-$J233))</f>
        <v/>
      </c>
      <c r="M233" s="16" t="n"/>
      <c r="N233" s="17">
        <f>IFERROR($L233*$M233,"")</f>
        <v/>
      </c>
      <c r="O233" s="20">
        <f>IFERROR($L233/$H233,"")</f>
        <v/>
      </c>
      <c r="P233" s="19">
        <f>IF($A233="","",IFERROR(INDEX(学校マスタ!$F$2:$F$71,MATCH($A233,学校マスタ!$A$2:$A$71,0)),""))</f>
        <v/>
      </c>
    </row>
    <row r="234">
      <c r="A234" s="6" t="n"/>
      <c r="B234" s="6" t="n"/>
      <c r="C234" s="6" t="n"/>
      <c r="D234" s="15" t="n"/>
      <c r="E234" s="15" t="n"/>
      <c r="F234" s="16" t="n"/>
      <c r="G234" s="17">
        <f>IFERROR($D234*$F234,"")</f>
        <v/>
      </c>
      <c r="H234" s="15" t="n"/>
      <c r="I234" s="18">
        <f>IFERROR($H234/$D234-1,"")</f>
        <v/>
      </c>
      <c r="J234" s="15" t="n"/>
      <c r="K234" s="19">
        <f>IF($A234="","",IFERROR(INDEX(学校マスタ!$G$2:$G$71,MATCH($A234,学校マスタ!$A$2:$A$71,0)),""))</f>
        <v/>
      </c>
      <c r="L234" s="17">
        <f>IF(OR($A234="",$H234="",$J234=""),"",IF($K234="なし",0,$H234-$J234))</f>
        <v/>
      </c>
      <c r="M234" s="16" t="n"/>
      <c r="N234" s="17">
        <f>IFERROR($L234*$M234,"")</f>
        <v/>
      </c>
      <c r="O234" s="20">
        <f>IFERROR($L234/$H234,"")</f>
        <v/>
      </c>
      <c r="P234" s="19">
        <f>IF($A234="","",IFERROR(INDEX(学校マスタ!$F$2:$F$71,MATCH($A234,学校マスタ!$A$2:$A$71,0)),""))</f>
        <v/>
      </c>
    </row>
    <row r="235">
      <c r="A235" s="6" t="n"/>
      <c r="B235" s="6" t="n"/>
      <c r="C235" s="6" t="n"/>
      <c r="D235" s="15" t="n"/>
      <c r="E235" s="15" t="n"/>
      <c r="F235" s="16" t="n"/>
      <c r="G235" s="17">
        <f>IFERROR($D235*$F235,"")</f>
        <v/>
      </c>
      <c r="H235" s="15" t="n"/>
      <c r="I235" s="18">
        <f>IFERROR($H235/$D235-1,"")</f>
        <v/>
      </c>
      <c r="J235" s="15" t="n"/>
      <c r="K235" s="19">
        <f>IF($A235="","",IFERROR(INDEX(学校マスタ!$G$2:$G$71,MATCH($A235,学校マスタ!$A$2:$A$71,0)),""))</f>
        <v/>
      </c>
      <c r="L235" s="17">
        <f>IF(OR($A235="",$H235="",$J235=""),"",IF($K235="なし",0,$H235-$J235))</f>
        <v/>
      </c>
      <c r="M235" s="16" t="n"/>
      <c r="N235" s="17">
        <f>IFERROR($L235*$M235,"")</f>
        <v/>
      </c>
      <c r="O235" s="20">
        <f>IFERROR($L235/$H235,"")</f>
        <v/>
      </c>
      <c r="P235" s="19">
        <f>IF($A235="","",IFERROR(INDEX(学校マスタ!$F$2:$F$71,MATCH($A235,学校マスタ!$A$2:$A$71,0)),""))</f>
        <v/>
      </c>
    </row>
    <row r="236">
      <c r="A236" s="6" t="n"/>
      <c r="B236" s="6" t="n"/>
      <c r="C236" s="6" t="n"/>
      <c r="D236" s="15" t="n"/>
      <c r="E236" s="15" t="n"/>
      <c r="F236" s="16" t="n"/>
      <c r="G236" s="17">
        <f>IFERROR($D236*$F236,"")</f>
        <v/>
      </c>
      <c r="H236" s="15" t="n"/>
      <c r="I236" s="18">
        <f>IFERROR($H236/$D236-1,"")</f>
        <v/>
      </c>
      <c r="J236" s="15" t="n"/>
      <c r="K236" s="19">
        <f>IF($A236="","",IFERROR(INDEX(学校マスタ!$G$2:$G$71,MATCH($A236,学校マスタ!$A$2:$A$71,0)),""))</f>
        <v/>
      </c>
      <c r="L236" s="17">
        <f>IF(OR($A236="",$H236="",$J236=""),"",IF($K236="なし",0,$H236-$J236))</f>
        <v/>
      </c>
      <c r="M236" s="16" t="n"/>
      <c r="N236" s="17">
        <f>IFERROR($L236*$M236,"")</f>
        <v/>
      </c>
      <c r="O236" s="20">
        <f>IFERROR($L236/$H236,"")</f>
        <v/>
      </c>
      <c r="P236" s="19">
        <f>IF($A236="","",IFERROR(INDEX(学校マスタ!$F$2:$F$71,MATCH($A236,学校マスタ!$A$2:$A$71,0)),""))</f>
        <v/>
      </c>
    </row>
    <row r="237">
      <c r="A237" s="6" t="n"/>
      <c r="B237" s="6" t="n"/>
      <c r="C237" s="6" t="n"/>
      <c r="D237" s="15" t="n"/>
      <c r="E237" s="15" t="n"/>
      <c r="F237" s="16" t="n"/>
      <c r="G237" s="17">
        <f>IFERROR($D237*$F237,"")</f>
        <v/>
      </c>
      <c r="H237" s="15" t="n"/>
      <c r="I237" s="18">
        <f>IFERROR($H237/$D237-1,"")</f>
        <v/>
      </c>
      <c r="J237" s="15" t="n"/>
      <c r="K237" s="19">
        <f>IF($A237="","",IFERROR(INDEX(学校マスタ!$G$2:$G$71,MATCH($A237,学校マスタ!$A$2:$A$71,0)),""))</f>
        <v/>
      </c>
      <c r="L237" s="17">
        <f>IF(OR($A237="",$H237="",$J237=""),"",IF($K237="なし",0,$H237-$J237))</f>
        <v/>
      </c>
      <c r="M237" s="16" t="n"/>
      <c r="N237" s="17">
        <f>IFERROR($L237*$M237,"")</f>
        <v/>
      </c>
      <c r="O237" s="20">
        <f>IFERROR($L237/$H237,"")</f>
        <v/>
      </c>
      <c r="P237" s="19">
        <f>IF($A237="","",IFERROR(INDEX(学校マスタ!$F$2:$F$71,MATCH($A237,学校マスタ!$A$2:$A$71,0)),""))</f>
        <v/>
      </c>
    </row>
    <row r="238">
      <c r="A238" s="6" t="n"/>
      <c r="B238" s="6" t="n"/>
      <c r="C238" s="6" t="n"/>
      <c r="D238" s="15" t="n"/>
      <c r="E238" s="15" t="n"/>
      <c r="F238" s="16" t="n"/>
      <c r="G238" s="17">
        <f>IFERROR($D238*$F238,"")</f>
        <v/>
      </c>
      <c r="H238" s="15" t="n"/>
      <c r="I238" s="18">
        <f>IFERROR($H238/$D238-1,"")</f>
        <v/>
      </c>
      <c r="J238" s="15" t="n"/>
      <c r="K238" s="19">
        <f>IF($A238="","",IFERROR(INDEX(学校マスタ!$G$2:$G$71,MATCH($A238,学校マスタ!$A$2:$A$71,0)),""))</f>
        <v/>
      </c>
      <c r="L238" s="17">
        <f>IF(OR($A238="",$H238="",$J238=""),"",IF($K238="なし",0,$H238-$J238))</f>
        <v/>
      </c>
      <c r="M238" s="16" t="n"/>
      <c r="N238" s="17">
        <f>IFERROR($L238*$M238,"")</f>
        <v/>
      </c>
      <c r="O238" s="20">
        <f>IFERROR($L238/$H238,"")</f>
        <v/>
      </c>
      <c r="P238" s="19">
        <f>IF($A238="","",IFERROR(INDEX(学校マスタ!$F$2:$F$71,MATCH($A238,学校マスタ!$A$2:$A$71,0)),""))</f>
        <v/>
      </c>
    </row>
    <row r="239">
      <c r="A239" s="6" t="n"/>
      <c r="B239" s="6" t="n"/>
      <c r="C239" s="6" t="n"/>
      <c r="D239" s="15" t="n"/>
      <c r="E239" s="15" t="n"/>
      <c r="F239" s="16" t="n"/>
      <c r="G239" s="17">
        <f>IFERROR($D239*$F239,"")</f>
        <v/>
      </c>
      <c r="H239" s="15" t="n"/>
      <c r="I239" s="18">
        <f>IFERROR($H239/$D239-1,"")</f>
        <v/>
      </c>
      <c r="J239" s="15" t="n"/>
      <c r="K239" s="19">
        <f>IF($A239="","",IFERROR(INDEX(学校マスタ!$G$2:$G$71,MATCH($A239,学校マスタ!$A$2:$A$71,0)),""))</f>
        <v/>
      </c>
      <c r="L239" s="17">
        <f>IF(OR($A239="",$H239="",$J239=""),"",IF($K239="なし",0,$H239-$J239))</f>
        <v/>
      </c>
      <c r="M239" s="16" t="n"/>
      <c r="N239" s="17">
        <f>IFERROR($L239*$M239,"")</f>
        <v/>
      </c>
      <c r="O239" s="20">
        <f>IFERROR($L239/$H239,"")</f>
        <v/>
      </c>
      <c r="P239" s="19">
        <f>IF($A239="","",IFERROR(INDEX(学校マスタ!$F$2:$F$71,MATCH($A239,学校マスタ!$A$2:$A$71,0)),""))</f>
        <v/>
      </c>
    </row>
    <row r="240">
      <c r="A240" s="6" t="n"/>
      <c r="B240" s="6" t="n"/>
      <c r="C240" s="6" t="n"/>
      <c r="D240" s="15" t="n"/>
      <c r="E240" s="15" t="n"/>
      <c r="F240" s="16" t="n"/>
      <c r="G240" s="17">
        <f>IFERROR($D240*$F240,"")</f>
        <v/>
      </c>
      <c r="H240" s="15" t="n"/>
      <c r="I240" s="18">
        <f>IFERROR($H240/$D240-1,"")</f>
        <v/>
      </c>
      <c r="J240" s="15" t="n"/>
      <c r="K240" s="19">
        <f>IF($A240="","",IFERROR(INDEX(学校マスタ!$G$2:$G$71,MATCH($A240,学校マスタ!$A$2:$A$71,0)),""))</f>
        <v/>
      </c>
      <c r="L240" s="17">
        <f>IF(OR($A240="",$H240="",$J240=""),"",IF($K240="なし",0,$H240-$J240))</f>
        <v/>
      </c>
      <c r="M240" s="16" t="n"/>
      <c r="N240" s="17">
        <f>IFERROR($L240*$M240,"")</f>
        <v/>
      </c>
      <c r="O240" s="20">
        <f>IFERROR($L240/$H240,"")</f>
        <v/>
      </c>
      <c r="P240" s="19">
        <f>IF($A240="","",IFERROR(INDEX(学校マスタ!$F$2:$F$71,MATCH($A240,学校マスタ!$A$2:$A$71,0)),""))</f>
        <v/>
      </c>
    </row>
    <row r="241">
      <c r="A241" s="6" t="n"/>
      <c r="B241" s="6" t="n"/>
      <c r="C241" s="6" t="n"/>
      <c r="D241" s="15" t="n"/>
      <c r="E241" s="15" t="n"/>
      <c r="F241" s="16" t="n"/>
      <c r="G241" s="17">
        <f>IFERROR($D241*$F241,"")</f>
        <v/>
      </c>
      <c r="H241" s="15" t="n"/>
      <c r="I241" s="18">
        <f>IFERROR($H241/$D241-1,"")</f>
        <v/>
      </c>
      <c r="J241" s="15" t="n"/>
      <c r="K241" s="19">
        <f>IF($A241="","",IFERROR(INDEX(学校マスタ!$G$2:$G$71,MATCH($A241,学校マスタ!$A$2:$A$71,0)),""))</f>
        <v/>
      </c>
      <c r="L241" s="17">
        <f>IF(OR($A241="",$H241="",$J241=""),"",IF($K241="なし",0,$H241-$J241))</f>
        <v/>
      </c>
      <c r="M241" s="16" t="n"/>
      <c r="N241" s="17">
        <f>IFERROR($L241*$M241,"")</f>
        <v/>
      </c>
      <c r="O241" s="20">
        <f>IFERROR($L241/$H241,"")</f>
        <v/>
      </c>
      <c r="P241" s="19">
        <f>IF($A241="","",IFERROR(INDEX(学校マスタ!$F$2:$F$71,MATCH($A241,学校マスタ!$A$2:$A$71,0)),""))</f>
        <v/>
      </c>
    </row>
    <row r="242">
      <c r="A242" s="6" t="n"/>
      <c r="B242" s="6" t="n"/>
      <c r="C242" s="6" t="n"/>
      <c r="D242" s="15" t="n"/>
      <c r="E242" s="15" t="n"/>
      <c r="F242" s="16" t="n"/>
      <c r="G242" s="17">
        <f>IFERROR($D242*$F242,"")</f>
        <v/>
      </c>
      <c r="H242" s="15" t="n"/>
      <c r="I242" s="18">
        <f>IFERROR($H242/$D242-1,"")</f>
        <v/>
      </c>
      <c r="J242" s="15" t="n"/>
      <c r="K242" s="19">
        <f>IF($A242="","",IFERROR(INDEX(学校マスタ!$G$2:$G$71,MATCH($A242,学校マスタ!$A$2:$A$71,0)),""))</f>
        <v/>
      </c>
      <c r="L242" s="17">
        <f>IF(OR($A242="",$H242="",$J242=""),"",IF($K242="なし",0,$H242-$J242))</f>
        <v/>
      </c>
      <c r="M242" s="16" t="n"/>
      <c r="N242" s="17">
        <f>IFERROR($L242*$M242,"")</f>
        <v/>
      </c>
      <c r="O242" s="20">
        <f>IFERROR($L242/$H242,"")</f>
        <v/>
      </c>
      <c r="P242" s="19">
        <f>IF($A242="","",IFERROR(INDEX(学校マスタ!$F$2:$F$71,MATCH($A242,学校マスタ!$A$2:$A$71,0)),""))</f>
        <v/>
      </c>
    </row>
    <row r="243">
      <c r="A243" s="6" t="n"/>
      <c r="B243" s="6" t="n"/>
      <c r="C243" s="6" t="n"/>
      <c r="D243" s="15" t="n"/>
      <c r="E243" s="15" t="n"/>
      <c r="F243" s="16" t="n"/>
      <c r="G243" s="17">
        <f>IFERROR($D243*$F243,"")</f>
        <v/>
      </c>
      <c r="H243" s="15" t="n"/>
      <c r="I243" s="18">
        <f>IFERROR($H243/$D243-1,"")</f>
        <v/>
      </c>
      <c r="J243" s="15" t="n"/>
      <c r="K243" s="19">
        <f>IF($A243="","",IFERROR(INDEX(学校マスタ!$G$2:$G$71,MATCH($A243,学校マスタ!$A$2:$A$71,0)),""))</f>
        <v/>
      </c>
      <c r="L243" s="17">
        <f>IF(OR($A243="",$H243="",$J243=""),"",IF($K243="なし",0,$H243-$J243))</f>
        <v/>
      </c>
      <c r="M243" s="16" t="n"/>
      <c r="N243" s="17">
        <f>IFERROR($L243*$M243,"")</f>
        <v/>
      </c>
      <c r="O243" s="20">
        <f>IFERROR($L243/$H243,"")</f>
        <v/>
      </c>
      <c r="P243" s="19">
        <f>IF($A243="","",IFERROR(INDEX(学校マスタ!$F$2:$F$71,MATCH($A243,学校マスタ!$A$2:$A$71,0)),""))</f>
        <v/>
      </c>
    </row>
    <row r="244">
      <c r="A244" s="6" t="n"/>
      <c r="B244" s="6" t="n"/>
      <c r="C244" s="6" t="n"/>
      <c r="D244" s="15" t="n"/>
      <c r="E244" s="15" t="n"/>
      <c r="F244" s="16" t="n"/>
      <c r="G244" s="17">
        <f>IFERROR($D244*$F244,"")</f>
        <v/>
      </c>
      <c r="H244" s="15" t="n"/>
      <c r="I244" s="18">
        <f>IFERROR($H244/$D244-1,"")</f>
        <v/>
      </c>
      <c r="J244" s="15" t="n"/>
      <c r="K244" s="19">
        <f>IF($A244="","",IFERROR(INDEX(学校マスタ!$G$2:$G$71,MATCH($A244,学校マスタ!$A$2:$A$71,0)),""))</f>
        <v/>
      </c>
      <c r="L244" s="17">
        <f>IF(OR($A244="",$H244="",$J244=""),"",IF($K244="なし",0,$H244-$J244))</f>
        <v/>
      </c>
      <c r="M244" s="16" t="n"/>
      <c r="N244" s="17">
        <f>IFERROR($L244*$M244,"")</f>
        <v/>
      </c>
      <c r="O244" s="20">
        <f>IFERROR($L244/$H244,"")</f>
        <v/>
      </c>
      <c r="P244" s="19">
        <f>IF($A244="","",IFERROR(INDEX(学校マスタ!$F$2:$F$71,MATCH($A244,学校マスタ!$A$2:$A$71,0)),""))</f>
        <v/>
      </c>
    </row>
    <row r="245">
      <c r="A245" s="6" t="n"/>
      <c r="B245" s="6" t="n"/>
      <c r="C245" s="6" t="n"/>
      <c r="D245" s="15" t="n"/>
      <c r="E245" s="15" t="n"/>
      <c r="F245" s="16" t="n"/>
      <c r="G245" s="17">
        <f>IFERROR($D245*$F245,"")</f>
        <v/>
      </c>
      <c r="H245" s="15" t="n"/>
      <c r="I245" s="18">
        <f>IFERROR($H245/$D245-1,"")</f>
        <v/>
      </c>
      <c r="J245" s="15" t="n"/>
      <c r="K245" s="19">
        <f>IF($A245="","",IFERROR(INDEX(学校マスタ!$G$2:$G$71,MATCH($A245,学校マスタ!$A$2:$A$71,0)),""))</f>
        <v/>
      </c>
      <c r="L245" s="17">
        <f>IF(OR($A245="",$H245="",$J245=""),"",IF($K245="なし",0,$H245-$J245))</f>
        <v/>
      </c>
      <c r="M245" s="16" t="n"/>
      <c r="N245" s="17">
        <f>IFERROR($L245*$M245,"")</f>
        <v/>
      </c>
      <c r="O245" s="20">
        <f>IFERROR($L245/$H245,"")</f>
        <v/>
      </c>
      <c r="P245" s="19">
        <f>IF($A245="","",IFERROR(INDEX(学校マスタ!$F$2:$F$71,MATCH($A245,学校マスタ!$A$2:$A$71,0)),""))</f>
        <v/>
      </c>
    </row>
    <row r="246">
      <c r="A246" s="6" t="n"/>
      <c r="B246" s="6" t="n"/>
      <c r="C246" s="6" t="n"/>
      <c r="D246" s="15" t="n"/>
      <c r="E246" s="15" t="n"/>
      <c r="F246" s="16" t="n"/>
      <c r="G246" s="17">
        <f>IFERROR($D246*$F246,"")</f>
        <v/>
      </c>
      <c r="H246" s="15" t="n"/>
      <c r="I246" s="18">
        <f>IFERROR($H246/$D246-1,"")</f>
        <v/>
      </c>
      <c r="J246" s="15" t="n"/>
      <c r="K246" s="19">
        <f>IF($A246="","",IFERROR(INDEX(学校マスタ!$G$2:$G$71,MATCH($A246,学校マスタ!$A$2:$A$71,0)),""))</f>
        <v/>
      </c>
      <c r="L246" s="17">
        <f>IF(OR($A246="",$H246="",$J246=""),"",IF($K246="なし",0,$H246-$J246))</f>
        <v/>
      </c>
      <c r="M246" s="16" t="n"/>
      <c r="N246" s="17">
        <f>IFERROR($L246*$M246,"")</f>
        <v/>
      </c>
      <c r="O246" s="20">
        <f>IFERROR($L246/$H246,"")</f>
        <v/>
      </c>
      <c r="P246" s="19">
        <f>IF($A246="","",IFERROR(INDEX(学校マスタ!$F$2:$F$71,MATCH($A246,学校マスタ!$A$2:$A$71,0)),""))</f>
        <v/>
      </c>
    </row>
    <row r="247">
      <c r="A247" s="6" t="n"/>
      <c r="B247" s="6" t="n"/>
      <c r="C247" s="6" t="n"/>
      <c r="D247" s="15" t="n"/>
      <c r="E247" s="15" t="n"/>
      <c r="F247" s="16" t="n"/>
      <c r="G247" s="17">
        <f>IFERROR($D247*$F247,"")</f>
        <v/>
      </c>
      <c r="H247" s="15" t="n"/>
      <c r="I247" s="18">
        <f>IFERROR($H247/$D247-1,"")</f>
        <v/>
      </c>
      <c r="J247" s="15" t="n"/>
      <c r="K247" s="19">
        <f>IF($A247="","",IFERROR(INDEX(学校マスタ!$G$2:$G$71,MATCH($A247,学校マスタ!$A$2:$A$71,0)),""))</f>
        <v/>
      </c>
      <c r="L247" s="17">
        <f>IF(OR($A247="",$H247="",$J247=""),"",IF($K247="なし",0,$H247-$J247))</f>
        <v/>
      </c>
      <c r="M247" s="16" t="n"/>
      <c r="N247" s="17">
        <f>IFERROR($L247*$M247,"")</f>
        <v/>
      </c>
      <c r="O247" s="20">
        <f>IFERROR($L247/$H247,"")</f>
        <v/>
      </c>
      <c r="P247" s="19">
        <f>IF($A247="","",IFERROR(INDEX(学校マスタ!$F$2:$F$71,MATCH($A247,学校マスタ!$A$2:$A$71,0)),""))</f>
        <v/>
      </c>
    </row>
    <row r="248">
      <c r="A248" s="6" t="n"/>
      <c r="B248" s="6" t="n"/>
      <c r="C248" s="6" t="n"/>
      <c r="D248" s="15" t="n"/>
      <c r="E248" s="15" t="n"/>
      <c r="F248" s="16" t="n"/>
      <c r="G248" s="17">
        <f>IFERROR($D248*$F248,"")</f>
        <v/>
      </c>
      <c r="H248" s="15" t="n"/>
      <c r="I248" s="18">
        <f>IFERROR($H248/$D248-1,"")</f>
        <v/>
      </c>
      <c r="J248" s="15" t="n"/>
      <c r="K248" s="19">
        <f>IF($A248="","",IFERROR(INDEX(学校マスタ!$G$2:$G$71,MATCH($A248,学校マスタ!$A$2:$A$71,0)),""))</f>
        <v/>
      </c>
      <c r="L248" s="17">
        <f>IF(OR($A248="",$H248="",$J248=""),"",IF($K248="なし",0,$H248-$J248))</f>
        <v/>
      </c>
      <c r="M248" s="16" t="n"/>
      <c r="N248" s="17">
        <f>IFERROR($L248*$M248,"")</f>
        <v/>
      </c>
      <c r="O248" s="20">
        <f>IFERROR($L248/$H248,"")</f>
        <v/>
      </c>
      <c r="P248" s="19">
        <f>IF($A248="","",IFERROR(INDEX(学校マスタ!$F$2:$F$71,MATCH($A248,学校マスタ!$A$2:$A$71,0)),""))</f>
        <v/>
      </c>
    </row>
    <row r="249">
      <c r="A249" s="6" t="n"/>
      <c r="B249" s="6" t="n"/>
      <c r="C249" s="6" t="n"/>
      <c r="D249" s="15" t="n"/>
      <c r="E249" s="15" t="n"/>
      <c r="F249" s="16" t="n"/>
      <c r="G249" s="17">
        <f>IFERROR($D249*$F249,"")</f>
        <v/>
      </c>
      <c r="H249" s="15" t="n"/>
      <c r="I249" s="18">
        <f>IFERROR($H249/$D249-1,"")</f>
        <v/>
      </c>
      <c r="J249" s="15" t="n"/>
      <c r="K249" s="19">
        <f>IF($A249="","",IFERROR(INDEX(学校マスタ!$G$2:$G$71,MATCH($A249,学校マスタ!$A$2:$A$71,0)),""))</f>
        <v/>
      </c>
      <c r="L249" s="17">
        <f>IF(OR($A249="",$H249="",$J249=""),"",IF($K249="なし",0,$H249-$J249))</f>
        <v/>
      </c>
      <c r="M249" s="16" t="n"/>
      <c r="N249" s="17">
        <f>IFERROR($L249*$M249,"")</f>
        <v/>
      </c>
      <c r="O249" s="20">
        <f>IFERROR($L249/$H249,"")</f>
        <v/>
      </c>
      <c r="P249" s="19">
        <f>IF($A249="","",IFERROR(INDEX(学校マスタ!$F$2:$F$71,MATCH($A249,学校マスタ!$A$2:$A$71,0)),""))</f>
        <v/>
      </c>
    </row>
    <row r="250">
      <c r="A250" s="6" t="n"/>
      <c r="B250" s="6" t="n"/>
      <c r="C250" s="6" t="n"/>
      <c r="D250" s="15" t="n"/>
      <c r="E250" s="15" t="n"/>
      <c r="F250" s="16" t="n"/>
      <c r="G250" s="17">
        <f>IFERROR($D250*$F250,"")</f>
        <v/>
      </c>
      <c r="H250" s="15" t="n"/>
      <c r="I250" s="18">
        <f>IFERROR($H250/$D250-1,"")</f>
        <v/>
      </c>
      <c r="J250" s="15" t="n"/>
      <c r="K250" s="19">
        <f>IF($A250="","",IFERROR(INDEX(学校マスタ!$G$2:$G$71,MATCH($A250,学校マスタ!$A$2:$A$71,0)),""))</f>
        <v/>
      </c>
      <c r="L250" s="17">
        <f>IF(OR($A250="",$H250="",$J250=""),"",IF($K250="なし",0,$H250-$J250))</f>
        <v/>
      </c>
      <c r="M250" s="16" t="n"/>
      <c r="N250" s="17">
        <f>IFERROR($L250*$M250,"")</f>
        <v/>
      </c>
      <c r="O250" s="20">
        <f>IFERROR($L250/$H250,"")</f>
        <v/>
      </c>
      <c r="P250" s="19">
        <f>IF($A250="","",IFERROR(INDEX(学校マスタ!$F$2:$F$71,MATCH($A250,学校マスタ!$A$2:$A$71,0)),""))</f>
        <v/>
      </c>
    </row>
    <row r="251">
      <c r="A251" s="6" t="n"/>
      <c r="B251" s="6" t="n"/>
      <c r="C251" s="6" t="n"/>
      <c r="D251" s="15" t="n"/>
      <c r="E251" s="15" t="n"/>
      <c r="F251" s="16" t="n"/>
      <c r="G251" s="17">
        <f>IFERROR($D251*$F251,"")</f>
        <v/>
      </c>
      <c r="H251" s="15" t="n"/>
      <c r="I251" s="18">
        <f>IFERROR($H251/$D251-1,"")</f>
        <v/>
      </c>
      <c r="J251" s="15" t="n"/>
      <c r="K251" s="19">
        <f>IF($A251="","",IFERROR(INDEX(学校マスタ!$G$2:$G$71,MATCH($A251,学校マスタ!$A$2:$A$71,0)),""))</f>
        <v/>
      </c>
      <c r="L251" s="17">
        <f>IF(OR($A251="",$H251="",$J251=""),"",IF($K251="なし",0,$H251-$J251))</f>
        <v/>
      </c>
      <c r="M251" s="16" t="n"/>
      <c r="N251" s="17">
        <f>IFERROR($L251*$M251,"")</f>
        <v/>
      </c>
      <c r="O251" s="20">
        <f>IFERROR($L251/$H251,"")</f>
        <v/>
      </c>
      <c r="P251" s="19">
        <f>IF($A251="","",IFERROR(INDEX(学校マスタ!$F$2:$F$71,MATCH($A251,学校マスタ!$A$2:$A$71,0)),""))</f>
        <v/>
      </c>
    </row>
  </sheetData>
  <autoFilter ref="A1:P251"/>
  <conditionalFormatting sqref="B2:B251">
    <cfRule type="cellIs" priority="1" operator="equal" dxfId="6">
      <formula>"オプション"</formula>
    </cfRule>
    <cfRule type="cellIs" priority="2" operator="equal" dxfId="7">
      <formula>"PC"</formula>
    </cfRule>
  </conditionalFormatting>
  <conditionalFormatting sqref="H2:H251">
    <cfRule type="expression" priority="3" dxfId="8">
      <formula>AND($A2&lt;&gt;"",$H2="")</formula>
    </cfRule>
  </conditionalFormatting>
  <conditionalFormatting sqref="J2:J251">
    <cfRule type="expression" priority="4" dxfId="8">
      <formula>AND($A2&lt;&gt;"",$J2="")</formula>
    </cfRule>
  </conditionalFormatting>
  <dataValidations count="2">
    <dataValidation sqref="A2:A251" showDropDown="0" showInputMessage="0" showErrorMessage="0" allowBlank="1" type="list">
      <formula1>学校マスタ!$A$2:$A$71</formula1>
    </dataValidation>
    <dataValidation sqref="B2:B251" showDropDown="0" showInputMessage="0" showErrorMessage="0" allowBlank="1" type="list">
      <formula1>設定!$F$2:$F$20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2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</cols>
  <sheetData>
    <row r="1">
      <c r="A1" s="21" t="inlineStr">
        <is>
          <t>ガント（1列＝1週間）</t>
        </is>
      </c>
      <c r="E1" s="7" t="inlineStr">
        <is>
          <t>█ チラシ調整期間　　▒ 販売開始→納品　　◆ 機種提示・意向回収・EC公開　　◎ 納品期日　　（今週の列は色が付きます）</t>
        </is>
      </c>
    </row>
    <row r="2">
      <c r="A2" s="22" t="inlineStr">
        <is>
          <t>開始日</t>
        </is>
      </c>
      <c r="B2" s="23" t="n">
        <v>46209</v>
      </c>
      <c r="C2" s="7" t="inlineStr">
        <is>
          <t>←月曜日を入れてください</t>
        </is>
      </c>
    </row>
    <row r="3" ht="26" customHeight="1">
      <c r="A3" s="5" t="inlineStr">
        <is>
          <t>学校名</t>
        </is>
      </c>
      <c r="B3" s="5" t="inlineStr">
        <is>
          <t>担当</t>
        </is>
      </c>
      <c r="C3" s="5" t="inlineStr">
        <is>
          <t>状態</t>
        </is>
      </c>
      <c r="D3" s="5" t="inlineStr">
        <is>
          <t>販売開始</t>
        </is>
      </c>
      <c r="E3" s="24">
        <f>$B$2</f>
        <v/>
      </c>
      <c r="F3" s="24">
        <f>E3+7</f>
        <v/>
      </c>
      <c r="G3" s="24">
        <f>F3+7</f>
        <v/>
      </c>
      <c r="H3" s="24">
        <f>G3+7</f>
        <v/>
      </c>
      <c r="I3" s="24">
        <f>H3+7</f>
        <v/>
      </c>
      <c r="J3" s="24">
        <f>I3+7</f>
        <v/>
      </c>
      <c r="K3" s="24">
        <f>J3+7</f>
        <v/>
      </c>
      <c r="L3" s="24">
        <f>K3+7</f>
        <v/>
      </c>
      <c r="M3" s="24">
        <f>L3+7</f>
        <v/>
      </c>
      <c r="N3" s="24">
        <f>M3+7</f>
        <v/>
      </c>
      <c r="O3" s="24">
        <f>N3+7</f>
        <v/>
      </c>
      <c r="P3" s="24">
        <f>O3+7</f>
        <v/>
      </c>
      <c r="Q3" s="24">
        <f>P3+7</f>
        <v/>
      </c>
      <c r="R3" s="24">
        <f>Q3+7</f>
        <v/>
      </c>
      <c r="S3" s="24">
        <f>R3+7</f>
        <v/>
      </c>
      <c r="T3" s="24">
        <f>S3+7</f>
        <v/>
      </c>
      <c r="U3" s="24">
        <f>T3+7</f>
        <v/>
      </c>
      <c r="V3" s="24">
        <f>U3+7</f>
        <v/>
      </c>
      <c r="W3" s="24">
        <f>V3+7</f>
        <v/>
      </c>
      <c r="X3" s="24">
        <f>W3+7</f>
        <v/>
      </c>
      <c r="Y3" s="24">
        <f>X3+7</f>
        <v/>
      </c>
      <c r="Z3" s="24">
        <f>Y3+7</f>
        <v/>
      </c>
      <c r="AA3" s="24">
        <f>Z3+7</f>
        <v/>
      </c>
      <c r="AB3" s="24">
        <f>AA3+7</f>
        <v/>
      </c>
    </row>
    <row r="4">
      <c r="A4" s="19">
        <f>IF(学校マスタ!$A2="","",学校マスタ!$A2)</f>
        <v/>
      </c>
      <c r="B4" s="19">
        <f>IF(学校マスタ!$A2="","",学校マスタ!$C2)</f>
        <v/>
      </c>
      <c r="C4" s="19">
        <f>IF(学校マスタ!$A2="","",学校マスタ!$X2)</f>
        <v/>
      </c>
      <c r="D4" s="25">
        <f>IF(学校マスタ!$A2="","",学校マスタ!$R2)</f>
        <v/>
      </c>
      <c r="E4" s="26">
        <f>IF(学校マスタ!$A2="","",IF(AND(学校マスタ!$U2&lt;&gt;"",学校マスタ!$U2&gt;=E$3,学校マスタ!$U2&lt;E$3+7),"◎",IF(OR(AND(学校マスタ!$H2&lt;&gt;"",学校マスタ!$H2&gt;=E$3,学校マスタ!$H2&lt;E$3+7),AND(学校マスタ!$J2&lt;&gt;"",学校マスタ!$J2&gt;=E$3,学校マスタ!$J2&lt;E$3+7),AND(学校マスタ!$L2&lt;&gt;"",学校マスタ!$L2&gt;=E$3,学校マスタ!$L2&lt;E$3+7)),"◆",IF(AND(学校マスタ!$O2&lt;&gt;"",学校マスタ!$P2&lt;&gt;"",学校マスタ!$O2&lt;E$3+7,学校マスタ!$P2&gt;=E$3),"█",IF(AND(学校マスタ!$R2&lt;&gt;"",学校マスタ!$U2&lt;&gt;"",学校マスタ!$R2&lt;E$3+7,学校マスタ!$U2&gt;=E$3),"▒","")))))</f>
        <v/>
      </c>
      <c r="F4" s="26">
        <f>IF(学校マスタ!$A2="","",IF(AND(学校マスタ!$U2&lt;&gt;"",学校マスタ!$U2&gt;=F$3,学校マスタ!$U2&lt;F$3+7),"◎",IF(OR(AND(学校マスタ!$H2&lt;&gt;"",学校マスタ!$H2&gt;=F$3,学校マスタ!$H2&lt;F$3+7),AND(学校マスタ!$J2&lt;&gt;"",学校マスタ!$J2&gt;=F$3,学校マスタ!$J2&lt;F$3+7),AND(学校マスタ!$L2&lt;&gt;"",学校マスタ!$L2&gt;=F$3,学校マスタ!$L2&lt;F$3+7)),"◆",IF(AND(学校マスタ!$O2&lt;&gt;"",学校マスタ!$P2&lt;&gt;"",学校マスタ!$O2&lt;F$3+7,学校マスタ!$P2&gt;=F$3),"█",IF(AND(学校マスタ!$R2&lt;&gt;"",学校マスタ!$U2&lt;&gt;"",学校マスタ!$R2&lt;F$3+7,学校マスタ!$U2&gt;=F$3),"▒","")))))</f>
        <v/>
      </c>
      <c r="G4" s="26">
        <f>IF(学校マスタ!$A2="","",IF(AND(学校マスタ!$U2&lt;&gt;"",学校マスタ!$U2&gt;=G$3,学校マスタ!$U2&lt;G$3+7),"◎",IF(OR(AND(学校マスタ!$H2&lt;&gt;"",学校マスタ!$H2&gt;=G$3,学校マスタ!$H2&lt;G$3+7),AND(学校マスタ!$J2&lt;&gt;"",学校マスタ!$J2&gt;=G$3,学校マスタ!$J2&lt;G$3+7),AND(学校マスタ!$L2&lt;&gt;"",学校マスタ!$L2&gt;=G$3,学校マスタ!$L2&lt;G$3+7)),"◆",IF(AND(学校マスタ!$O2&lt;&gt;"",学校マスタ!$P2&lt;&gt;"",学校マスタ!$O2&lt;G$3+7,学校マスタ!$P2&gt;=G$3),"█",IF(AND(学校マスタ!$R2&lt;&gt;"",学校マスタ!$U2&lt;&gt;"",学校マスタ!$R2&lt;G$3+7,学校マスタ!$U2&gt;=G$3),"▒","")))))</f>
        <v/>
      </c>
      <c r="H4" s="26">
        <f>IF(学校マスタ!$A2="","",IF(AND(学校マスタ!$U2&lt;&gt;"",学校マスタ!$U2&gt;=H$3,学校マスタ!$U2&lt;H$3+7),"◎",IF(OR(AND(学校マスタ!$H2&lt;&gt;"",学校マスタ!$H2&gt;=H$3,学校マスタ!$H2&lt;H$3+7),AND(学校マスタ!$J2&lt;&gt;"",学校マスタ!$J2&gt;=H$3,学校マスタ!$J2&lt;H$3+7),AND(学校マスタ!$L2&lt;&gt;"",学校マスタ!$L2&gt;=H$3,学校マスタ!$L2&lt;H$3+7)),"◆",IF(AND(学校マスタ!$O2&lt;&gt;"",学校マスタ!$P2&lt;&gt;"",学校マスタ!$O2&lt;H$3+7,学校マスタ!$P2&gt;=H$3),"█",IF(AND(学校マスタ!$R2&lt;&gt;"",学校マスタ!$U2&lt;&gt;"",学校マスタ!$R2&lt;H$3+7,学校マスタ!$U2&gt;=H$3),"▒","")))))</f>
        <v/>
      </c>
      <c r="I4" s="26">
        <f>IF(学校マスタ!$A2="","",IF(AND(学校マスタ!$U2&lt;&gt;"",学校マスタ!$U2&gt;=I$3,学校マスタ!$U2&lt;I$3+7),"◎",IF(OR(AND(学校マスタ!$H2&lt;&gt;"",学校マスタ!$H2&gt;=I$3,学校マスタ!$H2&lt;I$3+7),AND(学校マスタ!$J2&lt;&gt;"",学校マスタ!$J2&gt;=I$3,学校マスタ!$J2&lt;I$3+7),AND(学校マスタ!$L2&lt;&gt;"",学校マスタ!$L2&gt;=I$3,学校マスタ!$L2&lt;I$3+7)),"◆",IF(AND(学校マスタ!$O2&lt;&gt;"",学校マスタ!$P2&lt;&gt;"",学校マスタ!$O2&lt;I$3+7,学校マスタ!$P2&gt;=I$3),"█",IF(AND(学校マスタ!$R2&lt;&gt;"",学校マスタ!$U2&lt;&gt;"",学校マスタ!$R2&lt;I$3+7,学校マスタ!$U2&gt;=I$3),"▒","")))))</f>
        <v/>
      </c>
      <c r="J4" s="26">
        <f>IF(学校マスタ!$A2="","",IF(AND(学校マスタ!$U2&lt;&gt;"",学校マスタ!$U2&gt;=J$3,学校マスタ!$U2&lt;J$3+7),"◎",IF(OR(AND(学校マスタ!$H2&lt;&gt;"",学校マスタ!$H2&gt;=J$3,学校マスタ!$H2&lt;J$3+7),AND(学校マスタ!$J2&lt;&gt;"",学校マスタ!$J2&gt;=J$3,学校マスタ!$J2&lt;J$3+7),AND(学校マスタ!$L2&lt;&gt;"",学校マスタ!$L2&gt;=J$3,学校マスタ!$L2&lt;J$3+7)),"◆",IF(AND(学校マスタ!$O2&lt;&gt;"",学校マスタ!$P2&lt;&gt;"",学校マスタ!$O2&lt;J$3+7,学校マスタ!$P2&gt;=J$3),"█",IF(AND(学校マスタ!$R2&lt;&gt;"",学校マスタ!$U2&lt;&gt;"",学校マスタ!$R2&lt;J$3+7,学校マスタ!$U2&gt;=J$3),"▒","")))))</f>
        <v/>
      </c>
      <c r="K4" s="26">
        <f>IF(学校マスタ!$A2="","",IF(AND(学校マスタ!$U2&lt;&gt;"",学校マスタ!$U2&gt;=K$3,学校マスタ!$U2&lt;K$3+7),"◎",IF(OR(AND(学校マスタ!$H2&lt;&gt;"",学校マスタ!$H2&gt;=K$3,学校マスタ!$H2&lt;K$3+7),AND(学校マスタ!$J2&lt;&gt;"",学校マスタ!$J2&gt;=K$3,学校マスタ!$J2&lt;K$3+7),AND(学校マスタ!$L2&lt;&gt;"",学校マスタ!$L2&gt;=K$3,学校マスタ!$L2&lt;K$3+7)),"◆",IF(AND(学校マスタ!$O2&lt;&gt;"",学校マスタ!$P2&lt;&gt;"",学校マスタ!$O2&lt;K$3+7,学校マスタ!$P2&gt;=K$3),"█",IF(AND(学校マスタ!$R2&lt;&gt;"",学校マスタ!$U2&lt;&gt;"",学校マスタ!$R2&lt;K$3+7,学校マスタ!$U2&gt;=K$3),"▒","")))))</f>
        <v/>
      </c>
      <c r="L4" s="26">
        <f>IF(学校マスタ!$A2="","",IF(AND(学校マスタ!$U2&lt;&gt;"",学校マスタ!$U2&gt;=L$3,学校マスタ!$U2&lt;L$3+7),"◎",IF(OR(AND(学校マスタ!$H2&lt;&gt;"",学校マスタ!$H2&gt;=L$3,学校マスタ!$H2&lt;L$3+7),AND(学校マスタ!$J2&lt;&gt;"",学校マスタ!$J2&gt;=L$3,学校マスタ!$J2&lt;L$3+7),AND(学校マスタ!$L2&lt;&gt;"",学校マスタ!$L2&gt;=L$3,学校マスタ!$L2&lt;L$3+7)),"◆",IF(AND(学校マスタ!$O2&lt;&gt;"",学校マスタ!$P2&lt;&gt;"",学校マスタ!$O2&lt;L$3+7,学校マスタ!$P2&gt;=L$3),"█",IF(AND(学校マスタ!$R2&lt;&gt;"",学校マスタ!$U2&lt;&gt;"",学校マスタ!$R2&lt;L$3+7,学校マスタ!$U2&gt;=L$3),"▒","")))))</f>
        <v/>
      </c>
      <c r="M4" s="26">
        <f>IF(学校マスタ!$A2="","",IF(AND(学校マスタ!$U2&lt;&gt;"",学校マスタ!$U2&gt;=M$3,学校マスタ!$U2&lt;M$3+7),"◎",IF(OR(AND(学校マスタ!$H2&lt;&gt;"",学校マスタ!$H2&gt;=M$3,学校マスタ!$H2&lt;M$3+7),AND(学校マスタ!$J2&lt;&gt;"",学校マスタ!$J2&gt;=M$3,学校マスタ!$J2&lt;M$3+7),AND(学校マスタ!$L2&lt;&gt;"",学校マスタ!$L2&gt;=M$3,学校マスタ!$L2&lt;M$3+7)),"◆",IF(AND(学校マスタ!$O2&lt;&gt;"",学校マスタ!$P2&lt;&gt;"",学校マスタ!$O2&lt;M$3+7,学校マスタ!$P2&gt;=M$3),"█",IF(AND(学校マスタ!$R2&lt;&gt;"",学校マスタ!$U2&lt;&gt;"",学校マスタ!$R2&lt;M$3+7,学校マスタ!$U2&gt;=M$3),"▒","")))))</f>
        <v/>
      </c>
      <c r="N4" s="26">
        <f>IF(学校マスタ!$A2="","",IF(AND(学校マスタ!$U2&lt;&gt;"",学校マスタ!$U2&gt;=N$3,学校マスタ!$U2&lt;N$3+7),"◎",IF(OR(AND(学校マスタ!$H2&lt;&gt;"",学校マスタ!$H2&gt;=N$3,学校マスタ!$H2&lt;N$3+7),AND(学校マスタ!$J2&lt;&gt;"",学校マスタ!$J2&gt;=N$3,学校マスタ!$J2&lt;N$3+7),AND(学校マスタ!$L2&lt;&gt;"",学校マスタ!$L2&gt;=N$3,学校マスタ!$L2&lt;N$3+7)),"◆",IF(AND(学校マスタ!$O2&lt;&gt;"",学校マスタ!$P2&lt;&gt;"",学校マスタ!$O2&lt;N$3+7,学校マスタ!$P2&gt;=N$3),"█",IF(AND(学校マスタ!$R2&lt;&gt;"",学校マスタ!$U2&lt;&gt;"",学校マスタ!$R2&lt;N$3+7,学校マスタ!$U2&gt;=N$3),"▒","")))))</f>
        <v/>
      </c>
      <c r="O4" s="26">
        <f>IF(学校マスタ!$A2="","",IF(AND(学校マスタ!$U2&lt;&gt;"",学校マスタ!$U2&gt;=O$3,学校マスタ!$U2&lt;O$3+7),"◎",IF(OR(AND(学校マスタ!$H2&lt;&gt;"",学校マスタ!$H2&gt;=O$3,学校マスタ!$H2&lt;O$3+7),AND(学校マスタ!$J2&lt;&gt;"",学校マスタ!$J2&gt;=O$3,学校マスタ!$J2&lt;O$3+7),AND(学校マスタ!$L2&lt;&gt;"",学校マスタ!$L2&gt;=O$3,学校マスタ!$L2&lt;O$3+7)),"◆",IF(AND(学校マスタ!$O2&lt;&gt;"",学校マスタ!$P2&lt;&gt;"",学校マスタ!$O2&lt;O$3+7,学校マスタ!$P2&gt;=O$3),"█",IF(AND(学校マスタ!$R2&lt;&gt;"",学校マスタ!$U2&lt;&gt;"",学校マスタ!$R2&lt;O$3+7,学校マスタ!$U2&gt;=O$3),"▒","")))))</f>
        <v/>
      </c>
      <c r="P4" s="26">
        <f>IF(学校マスタ!$A2="","",IF(AND(学校マスタ!$U2&lt;&gt;"",学校マスタ!$U2&gt;=P$3,学校マスタ!$U2&lt;P$3+7),"◎",IF(OR(AND(学校マスタ!$H2&lt;&gt;"",学校マスタ!$H2&gt;=P$3,学校マスタ!$H2&lt;P$3+7),AND(学校マスタ!$J2&lt;&gt;"",学校マスタ!$J2&gt;=P$3,学校マスタ!$J2&lt;P$3+7),AND(学校マスタ!$L2&lt;&gt;"",学校マスタ!$L2&gt;=P$3,学校マスタ!$L2&lt;P$3+7)),"◆",IF(AND(学校マスタ!$O2&lt;&gt;"",学校マスタ!$P2&lt;&gt;"",学校マスタ!$O2&lt;P$3+7,学校マスタ!$P2&gt;=P$3),"█",IF(AND(学校マスタ!$R2&lt;&gt;"",学校マスタ!$U2&lt;&gt;"",学校マスタ!$R2&lt;P$3+7,学校マスタ!$U2&gt;=P$3),"▒","")))))</f>
        <v/>
      </c>
      <c r="Q4" s="26">
        <f>IF(学校マスタ!$A2="","",IF(AND(学校マスタ!$U2&lt;&gt;"",学校マスタ!$U2&gt;=Q$3,学校マスタ!$U2&lt;Q$3+7),"◎",IF(OR(AND(学校マスタ!$H2&lt;&gt;"",学校マスタ!$H2&gt;=Q$3,学校マスタ!$H2&lt;Q$3+7),AND(学校マスタ!$J2&lt;&gt;"",学校マスタ!$J2&gt;=Q$3,学校マスタ!$J2&lt;Q$3+7),AND(学校マスタ!$L2&lt;&gt;"",学校マスタ!$L2&gt;=Q$3,学校マスタ!$L2&lt;Q$3+7)),"◆",IF(AND(学校マスタ!$O2&lt;&gt;"",学校マスタ!$P2&lt;&gt;"",学校マスタ!$O2&lt;Q$3+7,学校マスタ!$P2&gt;=Q$3),"█",IF(AND(学校マスタ!$R2&lt;&gt;"",学校マスタ!$U2&lt;&gt;"",学校マスタ!$R2&lt;Q$3+7,学校マスタ!$U2&gt;=Q$3),"▒","")))))</f>
        <v/>
      </c>
      <c r="R4" s="26">
        <f>IF(学校マスタ!$A2="","",IF(AND(学校マスタ!$U2&lt;&gt;"",学校マスタ!$U2&gt;=R$3,学校マスタ!$U2&lt;R$3+7),"◎",IF(OR(AND(学校マスタ!$H2&lt;&gt;"",学校マスタ!$H2&gt;=R$3,学校マスタ!$H2&lt;R$3+7),AND(学校マスタ!$J2&lt;&gt;"",学校マスタ!$J2&gt;=R$3,学校マスタ!$J2&lt;R$3+7),AND(学校マスタ!$L2&lt;&gt;"",学校マスタ!$L2&gt;=R$3,学校マスタ!$L2&lt;R$3+7)),"◆",IF(AND(学校マスタ!$O2&lt;&gt;"",学校マスタ!$P2&lt;&gt;"",学校マスタ!$O2&lt;R$3+7,学校マスタ!$P2&gt;=R$3),"█",IF(AND(学校マスタ!$R2&lt;&gt;"",学校マスタ!$U2&lt;&gt;"",学校マスタ!$R2&lt;R$3+7,学校マスタ!$U2&gt;=R$3),"▒","")))))</f>
        <v/>
      </c>
      <c r="S4" s="26">
        <f>IF(学校マスタ!$A2="","",IF(AND(学校マスタ!$U2&lt;&gt;"",学校マスタ!$U2&gt;=S$3,学校マスタ!$U2&lt;S$3+7),"◎",IF(OR(AND(学校マスタ!$H2&lt;&gt;"",学校マスタ!$H2&gt;=S$3,学校マスタ!$H2&lt;S$3+7),AND(学校マスタ!$J2&lt;&gt;"",学校マスタ!$J2&gt;=S$3,学校マスタ!$J2&lt;S$3+7),AND(学校マスタ!$L2&lt;&gt;"",学校マスタ!$L2&gt;=S$3,学校マスタ!$L2&lt;S$3+7)),"◆",IF(AND(学校マスタ!$O2&lt;&gt;"",学校マスタ!$P2&lt;&gt;"",学校マスタ!$O2&lt;S$3+7,学校マスタ!$P2&gt;=S$3),"█",IF(AND(学校マスタ!$R2&lt;&gt;"",学校マスタ!$U2&lt;&gt;"",学校マスタ!$R2&lt;S$3+7,学校マスタ!$U2&gt;=S$3),"▒","")))))</f>
        <v/>
      </c>
      <c r="T4" s="26">
        <f>IF(学校マスタ!$A2="","",IF(AND(学校マスタ!$U2&lt;&gt;"",学校マスタ!$U2&gt;=T$3,学校マスタ!$U2&lt;T$3+7),"◎",IF(OR(AND(学校マスタ!$H2&lt;&gt;"",学校マスタ!$H2&gt;=T$3,学校マスタ!$H2&lt;T$3+7),AND(学校マスタ!$J2&lt;&gt;"",学校マスタ!$J2&gt;=T$3,学校マスタ!$J2&lt;T$3+7),AND(学校マスタ!$L2&lt;&gt;"",学校マスタ!$L2&gt;=T$3,学校マスタ!$L2&lt;T$3+7)),"◆",IF(AND(学校マスタ!$O2&lt;&gt;"",学校マスタ!$P2&lt;&gt;"",学校マスタ!$O2&lt;T$3+7,学校マスタ!$P2&gt;=T$3),"█",IF(AND(学校マスタ!$R2&lt;&gt;"",学校マスタ!$U2&lt;&gt;"",学校マスタ!$R2&lt;T$3+7,学校マスタ!$U2&gt;=T$3),"▒","")))))</f>
        <v/>
      </c>
      <c r="U4" s="26">
        <f>IF(学校マスタ!$A2="","",IF(AND(学校マスタ!$U2&lt;&gt;"",学校マスタ!$U2&gt;=U$3,学校マスタ!$U2&lt;U$3+7),"◎",IF(OR(AND(学校マスタ!$H2&lt;&gt;"",学校マスタ!$H2&gt;=U$3,学校マスタ!$H2&lt;U$3+7),AND(学校マスタ!$J2&lt;&gt;"",学校マスタ!$J2&gt;=U$3,学校マスタ!$J2&lt;U$3+7),AND(学校マスタ!$L2&lt;&gt;"",学校マスタ!$L2&gt;=U$3,学校マスタ!$L2&lt;U$3+7)),"◆",IF(AND(学校マスタ!$O2&lt;&gt;"",学校マスタ!$P2&lt;&gt;"",学校マスタ!$O2&lt;U$3+7,学校マスタ!$P2&gt;=U$3),"█",IF(AND(学校マスタ!$R2&lt;&gt;"",学校マスタ!$U2&lt;&gt;"",学校マスタ!$R2&lt;U$3+7,学校マスタ!$U2&gt;=U$3),"▒","")))))</f>
        <v/>
      </c>
      <c r="V4" s="26">
        <f>IF(学校マスタ!$A2="","",IF(AND(学校マスタ!$U2&lt;&gt;"",学校マスタ!$U2&gt;=V$3,学校マスタ!$U2&lt;V$3+7),"◎",IF(OR(AND(学校マスタ!$H2&lt;&gt;"",学校マスタ!$H2&gt;=V$3,学校マスタ!$H2&lt;V$3+7),AND(学校マスタ!$J2&lt;&gt;"",学校マスタ!$J2&gt;=V$3,学校マスタ!$J2&lt;V$3+7),AND(学校マスタ!$L2&lt;&gt;"",学校マスタ!$L2&gt;=V$3,学校マスタ!$L2&lt;V$3+7)),"◆",IF(AND(学校マスタ!$O2&lt;&gt;"",学校マスタ!$P2&lt;&gt;"",学校マスタ!$O2&lt;V$3+7,学校マスタ!$P2&gt;=V$3),"█",IF(AND(学校マスタ!$R2&lt;&gt;"",学校マスタ!$U2&lt;&gt;"",学校マスタ!$R2&lt;V$3+7,学校マスタ!$U2&gt;=V$3),"▒","")))))</f>
        <v/>
      </c>
      <c r="W4" s="26">
        <f>IF(学校マスタ!$A2="","",IF(AND(学校マスタ!$U2&lt;&gt;"",学校マスタ!$U2&gt;=W$3,学校マスタ!$U2&lt;W$3+7),"◎",IF(OR(AND(学校マスタ!$H2&lt;&gt;"",学校マスタ!$H2&gt;=W$3,学校マスタ!$H2&lt;W$3+7),AND(学校マスタ!$J2&lt;&gt;"",学校マスタ!$J2&gt;=W$3,学校マスタ!$J2&lt;W$3+7),AND(学校マスタ!$L2&lt;&gt;"",学校マスタ!$L2&gt;=W$3,学校マスタ!$L2&lt;W$3+7)),"◆",IF(AND(学校マスタ!$O2&lt;&gt;"",学校マスタ!$P2&lt;&gt;"",学校マスタ!$O2&lt;W$3+7,学校マスタ!$P2&gt;=W$3),"█",IF(AND(学校マスタ!$R2&lt;&gt;"",学校マスタ!$U2&lt;&gt;"",学校マスタ!$R2&lt;W$3+7,学校マスタ!$U2&gt;=W$3),"▒","")))))</f>
        <v/>
      </c>
      <c r="X4" s="26">
        <f>IF(学校マスタ!$A2="","",IF(AND(学校マスタ!$U2&lt;&gt;"",学校マスタ!$U2&gt;=X$3,学校マスタ!$U2&lt;X$3+7),"◎",IF(OR(AND(学校マスタ!$H2&lt;&gt;"",学校マスタ!$H2&gt;=X$3,学校マスタ!$H2&lt;X$3+7),AND(学校マスタ!$J2&lt;&gt;"",学校マスタ!$J2&gt;=X$3,学校マスタ!$J2&lt;X$3+7),AND(学校マスタ!$L2&lt;&gt;"",学校マスタ!$L2&gt;=X$3,学校マスタ!$L2&lt;X$3+7)),"◆",IF(AND(学校マスタ!$O2&lt;&gt;"",学校マスタ!$P2&lt;&gt;"",学校マスタ!$O2&lt;X$3+7,学校マスタ!$P2&gt;=X$3),"█",IF(AND(学校マスタ!$R2&lt;&gt;"",学校マスタ!$U2&lt;&gt;"",学校マスタ!$R2&lt;X$3+7,学校マスタ!$U2&gt;=X$3),"▒","")))))</f>
        <v/>
      </c>
      <c r="Y4" s="26">
        <f>IF(学校マスタ!$A2="","",IF(AND(学校マスタ!$U2&lt;&gt;"",学校マスタ!$U2&gt;=Y$3,学校マスタ!$U2&lt;Y$3+7),"◎",IF(OR(AND(学校マスタ!$H2&lt;&gt;"",学校マスタ!$H2&gt;=Y$3,学校マスタ!$H2&lt;Y$3+7),AND(学校マスタ!$J2&lt;&gt;"",学校マスタ!$J2&gt;=Y$3,学校マスタ!$J2&lt;Y$3+7),AND(学校マスタ!$L2&lt;&gt;"",学校マスタ!$L2&gt;=Y$3,学校マスタ!$L2&lt;Y$3+7)),"◆",IF(AND(学校マスタ!$O2&lt;&gt;"",学校マスタ!$P2&lt;&gt;"",学校マスタ!$O2&lt;Y$3+7,学校マスタ!$P2&gt;=Y$3),"█",IF(AND(学校マスタ!$R2&lt;&gt;"",学校マスタ!$U2&lt;&gt;"",学校マスタ!$R2&lt;Y$3+7,学校マスタ!$U2&gt;=Y$3),"▒","")))))</f>
        <v/>
      </c>
      <c r="Z4" s="26">
        <f>IF(学校マスタ!$A2="","",IF(AND(学校マスタ!$U2&lt;&gt;"",学校マスタ!$U2&gt;=Z$3,学校マスタ!$U2&lt;Z$3+7),"◎",IF(OR(AND(学校マスタ!$H2&lt;&gt;"",学校マスタ!$H2&gt;=Z$3,学校マスタ!$H2&lt;Z$3+7),AND(学校マスタ!$J2&lt;&gt;"",学校マスタ!$J2&gt;=Z$3,学校マスタ!$J2&lt;Z$3+7),AND(学校マスタ!$L2&lt;&gt;"",学校マスタ!$L2&gt;=Z$3,学校マスタ!$L2&lt;Z$3+7)),"◆",IF(AND(学校マスタ!$O2&lt;&gt;"",学校マスタ!$P2&lt;&gt;"",学校マスタ!$O2&lt;Z$3+7,学校マスタ!$P2&gt;=Z$3),"█",IF(AND(学校マスタ!$R2&lt;&gt;"",学校マスタ!$U2&lt;&gt;"",学校マスタ!$R2&lt;Z$3+7,学校マスタ!$U2&gt;=Z$3),"▒","")))))</f>
        <v/>
      </c>
      <c r="AA4" s="26">
        <f>IF(学校マスタ!$A2="","",IF(AND(学校マスタ!$U2&lt;&gt;"",学校マスタ!$U2&gt;=AA$3,学校マスタ!$U2&lt;AA$3+7),"◎",IF(OR(AND(学校マスタ!$H2&lt;&gt;"",学校マスタ!$H2&gt;=AA$3,学校マスタ!$H2&lt;AA$3+7),AND(学校マスタ!$J2&lt;&gt;"",学校マスタ!$J2&gt;=AA$3,学校マスタ!$J2&lt;AA$3+7),AND(学校マスタ!$L2&lt;&gt;"",学校マスタ!$L2&gt;=AA$3,学校マスタ!$L2&lt;AA$3+7)),"◆",IF(AND(学校マスタ!$O2&lt;&gt;"",学校マスタ!$P2&lt;&gt;"",学校マスタ!$O2&lt;AA$3+7,学校マスタ!$P2&gt;=AA$3),"█",IF(AND(学校マスタ!$R2&lt;&gt;"",学校マスタ!$U2&lt;&gt;"",学校マスタ!$R2&lt;AA$3+7,学校マスタ!$U2&gt;=AA$3),"▒","")))))</f>
        <v/>
      </c>
      <c r="AB4" s="26">
        <f>IF(学校マスタ!$A2="","",IF(AND(学校マスタ!$U2&lt;&gt;"",学校マスタ!$U2&gt;=AB$3,学校マスタ!$U2&lt;AB$3+7),"◎",IF(OR(AND(学校マスタ!$H2&lt;&gt;"",学校マスタ!$H2&gt;=AB$3,学校マスタ!$H2&lt;AB$3+7),AND(学校マスタ!$J2&lt;&gt;"",学校マスタ!$J2&gt;=AB$3,学校マスタ!$J2&lt;AB$3+7),AND(学校マスタ!$L2&lt;&gt;"",学校マスタ!$L2&gt;=AB$3,学校マスタ!$L2&lt;AB$3+7)),"◆",IF(AND(学校マスタ!$O2&lt;&gt;"",学校マスタ!$P2&lt;&gt;"",学校マスタ!$O2&lt;AB$3+7,学校マスタ!$P2&gt;=AB$3),"█",IF(AND(学校マスタ!$R2&lt;&gt;"",学校マスタ!$U2&lt;&gt;"",学校マスタ!$R2&lt;AB$3+7,学校マスタ!$U2&gt;=AB$3),"▒","")))))</f>
        <v/>
      </c>
    </row>
    <row r="5">
      <c r="A5" s="19">
        <f>IF(学校マスタ!$A3="","",学校マスタ!$A3)</f>
        <v/>
      </c>
      <c r="B5" s="19">
        <f>IF(学校マスタ!$A3="","",学校マスタ!$C3)</f>
        <v/>
      </c>
      <c r="C5" s="19">
        <f>IF(学校マスタ!$A3="","",学校マスタ!$X3)</f>
        <v/>
      </c>
      <c r="D5" s="25">
        <f>IF(学校マスタ!$A3="","",学校マスタ!$R3)</f>
        <v/>
      </c>
      <c r="E5" s="26">
        <f>IF(学校マスタ!$A3="","",IF(AND(学校マスタ!$U3&lt;&gt;"",学校マスタ!$U3&gt;=E$3,学校マスタ!$U3&lt;E$3+7),"◎",IF(OR(AND(学校マスタ!$H3&lt;&gt;"",学校マスタ!$H3&gt;=E$3,学校マスタ!$H3&lt;E$3+7),AND(学校マスタ!$J3&lt;&gt;"",学校マスタ!$J3&gt;=E$3,学校マスタ!$J3&lt;E$3+7),AND(学校マスタ!$L3&lt;&gt;"",学校マスタ!$L3&gt;=E$3,学校マスタ!$L3&lt;E$3+7)),"◆",IF(AND(学校マスタ!$O3&lt;&gt;"",学校マスタ!$P3&lt;&gt;"",学校マスタ!$O3&lt;E$3+7,学校マスタ!$P3&gt;=E$3),"█",IF(AND(学校マスタ!$R3&lt;&gt;"",学校マスタ!$U3&lt;&gt;"",学校マスタ!$R3&lt;E$3+7,学校マスタ!$U3&gt;=E$3),"▒","")))))</f>
        <v/>
      </c>
      <c r="F5" s="26">
        <f>IF(学校マスタ!$A3="","",IF(AND(学校マスタ!$U3&lt;&gt;"",学校マスタ!$U3&gt;=F$3,学校マスタ!$U3&lt;F$3+7),"◎",IF(OR(AND(学校マスタ!$H3&lt;&gt;"",学校マスタ!$H3&gt;=F$3,学校マスタ!$H3&lt;F$3+7),AND(学校マスタ!$J3&lt;&gt;"",学校マスタ!$J3&gt;=F$3,学校マスタ!$J3&lt;F$3+7),AND(学校マスタ!$L3&lt;&gt;"",学校マスタ!$L3&gt;=F$3,学校マスタ!$L3&lt;F$3+7)),"◆",IF(AND(学校マスタ!$O3&lt;&gt;"",学校マスタ!$P3&lt;&gt;"",学校マスタ!$O3&lt;F$3+7,学校マスタ!$P3&gt;=F$3),"█",IF(AND(学校マスタ!$R3&lt;&gt;"",学校マスタ!$U3&lt;&gt;"",学校マスタ!$R3&lt;F$3+7,学校マスタ!$U3&gt;=F$3),"▒","")))))</f>
        <v/>
      </c>
      <c r="G5" s="26">
        <f>IF(学校マスタ!$A3="","",IF(AND(学校マスタ!$U3&lt;&gt;"",学校マスタ!$U3&gt;=G$3,学校マスタ!$U3&lt;G$3+7),"◎",IF(OR(AND(学校マスタ!$H3&lt;&gt;"",学校マスタ!$H3&gt;=G$3,学校マスタ!$H3&lt;G$3+7),AND(学校マスタ!$J3&lt;&gt;"",学校マスタ!$J3&gt;=G$3,学校マスタ!$J3&lt;G$3+7),AND(学校マスタ!$L3&lt;&gt;"",学校マスタ!$L3&gt;=G$3,学校マスタ!$L3&lt;G$3+7)),"◆",IF(AND(学校マスタ!$O3&lt;&gt;"",学校マスタ!$P3&lt;&gt;"",学校マスタ!$O3&lt;G$3+7,学校マスタ!$P3&gt;=G$3),"█",IF(AND(学校マスタ!$R3&lt;&gt;"",学校マスタ!$U3&lt;&gt;"",学校マスタ!$R3&lt;G$3+7,学校マスタ!$U3&gt;=G$3),"▒","")))))</f>
        <v/>
      </c>
      <c r="H5" s="26">
        <f>IF(学校マスタ!$A3="","",IF(AND(学校マスタ!$U3&lt;&gt;"",学校マスタ!$U3&gt;=H$3,学校マスタ!$U3&lt;H$3+7),"◎",IF(OR(AND(学校マスタ!$H3&lt;&gt;"",学校マスタ!$H3&gt;=H$3,学校マスタ!$H3&lt;H$3+7),AND(学校マスタ!$J3&lt;&gt;"",学校マスタ!$J3&gt;=H$3,学校マスタ!$J3&lt;H$3+7),AND(学校マスタ!$L3&lt;&gt;"",学校マスタ!$L3&gt;=H$3,学校マスタ!$L3&lt;H$3+7)),"◆",IF(AND(学校マスタ!$O3&lt;&gt;"",学校マスタ!$P3&lt;&gt;"",学校マスタ!$O3&lt;H$3+7,学校マスタ!$P3&gt;=H$3),"█",IF(AND(学校マスタ!$R3&lt;&gt;"",学校マスタ!$U3&lt;&gt;"",学校マスタ!$R3&lt;H$3+7,学校マスタ!$U3&gt;=H$3),"▒","")))))</f>
        <v/>
      </c>
      <c r="I5" s="26">
        <f>IF(学校マスタ!$A3="","",IF(AND(学校マスタ!$U3&lt;&gt;"",学校マスタ!$U3&gt;=I$3,学校マスタ!$U3&lt;I$3+7),"◎",IF(OR(AND(学校マスタ!$H3&lt;&gt;"",学校マスタ!$H3&gt;=I$3,学校マスタ!$H3&lt;I$3+7),AND(学校マスタ!$J3&lt;&gt;"",学校マスタ!$J3&gt;=I$3,学校マスタ!$J3&lt;I$3+7),AND(学校マスタ!$L3&lt;&gt;"",学校マスタ!$L3&gt;=I$3,学校マスタ!$L3&lt;I$3+7)),"◆",IF(AND(学校マスタ!$O3&lt;&gt;"",学校マスタ!$P3&lt;&gt;"",学校マスタ!$O3&lt;I$3+7,学校マスタ!$P3&gt;=I$3),"█",IF(AND(学校マスタ!$R3&lt;&gt;"",学校マスタ!$U3&lt;&gt;"",学校マスタ!$R3&lt;I$3+7,学校マスタ!$U3&gt;=I$3),"▒","")))))</f>
        <v/>
      </c>
      <c r="J5" s="26">
        <f>IF(学校マスタ!$A3="","",IF(AND(学校マスタ!$U3&lt;&gt;"",学校マスタ!$U3&gt;=J$3,学校マスタ!$U3&lt;J$3+7),"◎",IF(OR(AND(学校マスタ!$H3&lt;&gt;"",学校マスタ!$H3&gt;=J$3,学校マスタ!$H3&lt;J$3+7),AND(学校マスタ!$J3&lt;&gt;"",学校マスタ!$J3&gt;=J$3,学校マスタ!$J3&lt;J$3+7),AND(学校マスタ!$L3&lt;&gt;"",学校マスタ!$L3&gt;=J$3,学校マスタ!$L3&lt;J$3+7)),"◆",IF(AND(学校マスタ!$O3&lt;&gt;"",学校マスタ!$P3&lt;&gt;"",学校マスタ!$O3&lt;J$3+7,学校マスタ!$P3&gt;=J$3),"█",IF(AND(学校マスタ!$R3&lt;&gt;"",学校マスタ!$U3&lt;&gt;"",学校マスタ!$R3&lt;J$3+7,学校マスタ!$U3&gt;=J$3),"▒","")))))</f>
        <v/>
      </c>
      <c r="K5" s="26">
        <f>IF(学校マスタ!$A3="","",IF(AND(学校マスタ!$U3&lt;&gt;"",学校マスタ!$U3&gt;=K$3,学校マスタ!$U3&lt;K$3+7),"◎",IF(OR(AND(学校マスタ!$H3&lt;&gt;"",学校マスタ!$H3&gt;=K$3,学校マスタ!$H3&lt;K$3+7),AND(学校マスタ!$J3&lt;&gt;"",学校マスタ!$J3&gt;=K$3,学校マスタ!$J3&lt;K$3+7),AND(学校マスタ!$L3&lt;&gt;"",学校マスタ!$L3&gt;=K$3,学校マスタ!$L3&lt;K$3+7)),"◆",IF(AND(学校マスタ!$O3&lt;&gt;"",学校マスタ!$P3&lt;&gt;"",学校マスタ!$O3&lt;K$3+7,学校マスタ!$P3&gt;=K$3),"█",IF(AND(学校マスタ!$R3&lt;&gt;"",学校マスタ!$U3&lt;&gt;"",学校マスタ!$R3&lt;K$3+7,学校マスタ!$U3&gt;=K$3),"▒","")))))</f>
        <v/>
      </c>
      <c r="L5" s="26">
        <f>IF(学校マスタ!$A3="","",IF(AND(学校マスタ!$U3&lt;&gt;"",学校マスタ!$U3&gt;=L$3,学校マスタ!$U3&lt;L$3+7),"◎",IF(OR(AND(学校マスタ!$H3&lt;&gt;"",学校マスタ!$H3&gt;=L$3,学校マスタ!$H3&lt;L$3+7),AND(学校マスタ!$J3&lt;&gt;"",学校マスタ!$J3&gt;=L$3,学校マスタ!$J3&lt;L$3+7),AND(学校マスタ!$L3&lt;&gt;"",学校マスタ!$L3&gt;=L$3,学校マスタ!$L3&lt;L$3+7)),"◆",IF(AND(学校マスタ!$O3&lt;&gt;"",学校マスタ!$P3&lt;&gt;"",学校マスタ!$O3&lt;L$3+7,学校マスタ!$P3&gt;=L$3),"█",IF(AND(学校マスタ!$R3&lt;&gt;"",学校マスタ!$U3&lt;&gt;"",学校マスタ!$R3&lt;L$3+7,学校マスタ!$U3&gt;=L$3),"▒","")))))</f>
        <v/>
      </c>
      <c r="M5" s="26">
        <f>IF(学校マスタ!$A3="","",IF(AND(学校マスタ!$U3&lt;&gt;"",学校マスタ!$U3&gt;=M$3,学校マスタ!$U3&lt;M$3+7),"◎",IF(OR(AND(学校マスタ!$H3&lt;&gt;"",学校マスタ!$H3&gt;=M$3,学校マスタ!$H3&lt;M$3+7),AND(学校マスタ!$J3&lt;&gt;"",学校マスタ!$J3&gt;=M$3,学校マスタ!$J3&lt;M$3+7),AND(学校マスタ!$L3&lt;&gt;"",学校マスタ!$L3&gt;=M$3,学校マスタ!$L3&lt;M$3+7)),"◆",IF(AND(学校マスタ!$O3&lt;&gt;"",学校マスタ!$P3&lt;&gt;"",学校マスタ!$O3&lt;M$3+7,学校マスタ!$P3&gt;=M$3),"█",IF(AND(学校マスタ!$R3&lt;&gt;"",学校マスタ!$U3&lt;&gt;"",学校マスタ!$R3&lt;M$3+7,学校マスタ!$U3&gt;=M$3),"▒","")))))</f>
        <v/>
      </c>
      <c r="N5" s="26">
        <f>IF(学校マスタ!$A3="","",IF(AND(学校マスタ!$U3&lt;&gt;"",学校マスタ!$U3&gt;=N$3,学校マスタ!$U3&lt;N$3+7),"◎",IF(OR(AND(学校マスタ!$H3&lt;&gt;"",学校マスタ!$H3&gt;=N$3,学校マスタ!$H3&lt;N$3+7),AND(学校マスタ!$J3&lt;&gt;"",学校マスタ!$J3&gt;=N$3,学校マスタ!$J3&lt;N$3+7),AND(学校マスタ!$L3&lt;&gt;"",学校マスタ!$L3&gt;=N$3,学校マスタ!$L3&lt;N$3+7)),"◆",IF(AND(学校マスタ!$O3&lt;&gt;"",学校マスタ!$P3&lt;&gt;"",学校マスタ!$O3&lt;N$3+7,学校マスタ!$P3&gt;=N$3),"█",IF(AND(学校マスタ!$R3&lt;&gt;"",学校マスタ!$U3&lt;&gt;"",学校マスタ!$R3&lt;N$3+7,学校マスタ!$U3&gt;=N$3),"▒","")))))</f>
        <v/>
      </c>
      <c r="O5" s="26">
        <f>IF(学校マスタ!$A3="","",IF(AND(学校マスタ!$U3&lt;&gt;"",学校マスタ!$U3&gt;=O$3,学校マスタ!$U3&lt;O$3+7),"◎",IF(OR(AND(学校マスタ!$H3&lt;&gt;"",学校マスタ!$H3&gt;=O$3,学校マスタ!$H3&lt;O$3+7),AND(学校マスタ!$J3&lt;&gt;"",学校マスタ!$J3&gt;=O$3,学校マスタ!$J3&lt;O$3+7),AND(学校マスタ!$L3&lt;&gt;"",学校マスタ!$L3&gt;=O$3,学校マスタ!$L3&lt;O$3+7)),"◆",IF(AND(学校マスタ!$O3&lt;&gt;"",学校マスタ!$P3&lt;&gt;"",学校マスタ!$O3&lt;O$3+7,学校マスタ!$P3&gt;=O$3),"█",IF(AND(学校マスタ!$R3&lt;&gt;"",学校マスタ!$U3&lt;&gt;"",学校マスタ!$R3&lt;O$3+7,学校マスタ!$U3&gt;=O$3),"▒","")))))</f>
        <v/>
      </c>
      <c r="P5" s="26">
        <f>IF(学校マスタ!$A3="","",IF(AND(学校マスタ!$U3&lt;&gt;"",学校マスタ!$U3&gt;=P$3,学校マスタ!$U3&lt;P$3+7),"◎",IF(OR(AND(学校マスタ!$H3&lt;&gt;"",学校マスタ!$H3&gt;=P$3,学校マスタ!$H3&lt;P$3+7),AND(学校マスタ!$J3&lt;&gt;"",学校マスタ!$J3&gt;=P$3,学校マスタ!$J3&lt;P$3+7),AND(学校マスタ!$L3&lt;&gt;"",学校マスタ!$L3&gt;=P$3,学校マスタ!$L3&lt;P$3+7)),"◆",IF(AND(学校マスタ!$O3&lt;&gt;"",学校マスタ!$P3&lt;&gt;"",学校マスタ!$O3&lt;P$3+7,学校マスタ!$P3&gt;=P$3),"█",IF(AND(学校マスタ!$R3&lt;&gt;"",学校マスタ!$U3&lt;&gt;"",学校マスタ!$R3&lt;P$3+7,学校マスタ!$U3&gt;=P$3),"▒","")))))</f>
        <v/>
      </c>
      <c r="Q5" s="26">
        <f>IF(学校マスタ!$A3="","",IF(AND(学校マスタ!$U3&lt;&gt;"",学校マスタ!$U3&gt;=Q$3,学校マスタ!$U3&lt;Q$3+7),"◎",IF(OR(AND(学校マスタ!$H3&lt;&gt;"",学校マスタ!$H3&gt;=Q$3,学校マスタ!$H3&lt;Q$3+7),AND(学校マスタ!$J3&lt;&gt;"",学校マスタ!$J3&gt;=Q$3,学校マスタ!$J3&lt;Q$3+7),AND(学校マスタ!$L3&lt;&gt;"",学校マスタ!$L3&gt;=Q$3,学校マスタ!$L3&lt;Q$3+7)),"◆",IF(AND(学校マスタ!$O3&lt;&gt;"",学校マスタ!$P3&lt;&gt;"",学校マスタ!$O3&lt;Q$3+7,学校マスタ!$P3&gt;=Q$3),"█",IF(AND(学校マスタ!$R3&lt;&gt;"",学校マスタ!$U3&lt;&gt;"",学校マスタ!$R3&lt;Q$3+7,学校マスタ!$U3&gt;=Q$3),"▒","")))))</f>
        <v/>
      </c>
      <c r="R5" s="26">
        <f>IF(学校マスタ!$A3="","",IF(AND(学校マスタ!$U3&lt;&gt;"",学校マスタ!$U3&gt;=R$3,学校マスタ!$U3&lt;R$3+7),"◎",IF(OR(AND(学校マスタ!$H3&lt;&gt;"",学校マスタ!$H3&gt;=R$3,学校マスタ!$H3&lt;R$3+7),AND(学校マスタ!$J3&lt;&gt;"",学校マスタ!$J3&gt;=R$3,学校マスタ!$J3&lt;R$3+7),AND(学校マスタ!$L3&lt;&gt;"",学校マスタ!$L3&gt;=R$3,学校マスタ!$L3&lt;R$3+7)),"◆",IF(AND(学校マスタ!$O3&lt;&gt;"",学校マスタ!$P3&lt;&gt;"",学校マスタ!$O3&lt;R$3+7,学校マスタ!$P3&gt;=R$3),"█",IF(AND(学校マスタ!$R3&lt;&gt;"",学校マスタ!$U3&lt;&gt;"",学校マスタ!$R3&lt;R$3+7,学校マスタ!$U3&gt;=R$3),"▒","")))))</f>
        <v/>
      </c>
      <c r="S5" s="26">
        <f>IF(学校マスタ!$A3="","",IF(AND(学校マスタ!$U3&lt;&gt;"",学校マスタ!$U3&gt;=S$3,学校マスタ!$U3&lt;S$3+7),"◎",IF(OR(AND(学校マスタ!$H3&lt;&gt;"",学校マスタ!$H3&gt;=S$3,学校マスタ!$H3&lt;S$3+7),AND(学校マスタ!$J3&lt;&gt;"",学校マスタ!$J3&gt;=S$3,学校マスタ!$J3&lt;S$3+7),AND(学校マスタ!$L3&lt;&gt;"",学校マスタ!$L3&gt;=S$3,学校マスタ!$L3&lt;S$3+7)),"◆",IF(AND(学校マスタ!$O3&lt;&gt;"",学校マスタ!$P3&lt;&gt;"",学校マスタ!$O3&lt;S$3+7,学校マスタ!$P3&gt;=S$3),"█",IF(AND(学校マスタ!$R3&lt;&gt;"",学校マスタ!$U3&lt;&gt;"",学校マスタ!$R3&lt;S$3+7,学校マスタ!$U3&gt;=S$3),"▒","")))))</f>
        <v/>
      </c>
      <c r="T5" s="26">
        <f>IF(学校マスタ!$A3="","",IF(AND(学校マスタ!$U3&lt;&gt;"",学校マスタ!$U3&gt;=T$3,学校マスタ!$U3&lt;T$3+7),"◎",IF(OR(AND(学校マスタ!$H3&lt;&gt;"",学校マスタ!$H3&gt;=T$3,学校マスタ!$H3&lt;T$3+7),AND(学校マスタ!$J3&lt;&gt;"",学校マスタ!$J3&gt;=T$3,学校マスタ!$J3&lt;T$3+7),AND(学校マスタ!$L3&lt;&gt;"",学校マスタ!$L3&gt;=T$3,学校マスタ!$L3&lt;T$3+7)),"◆",IF(AND(学校マスタ!$O3&lt;&gt;"",学校マスタ!$P3&lt;&gt;"",学校マスタ!$O3&lt;T$3+7,学校マスタ!$P3&gt;=T$3),"█",IF(AND(学校マスタ!$R3&lt;&gt;"",学校マスタ!$U3&lt;&gt;"",学校マスタ!$R3&lt;T$3+7,学校マスタ!$U3&gt;=T$3),"▒","")))))</f>
        <v/>
      </c>
      <c r="U5" s="26">
        <f>IF(学校マスタ!$A3="","",IF(AND(学校マスタ!$U3&lt;&gt;"",学校マスタ!$U3&gt;=U$3,学校マスタ!$U3&lt;U$3+7),"◎",IF(OR(AND(学校マスタ!$H3&lt;&gt;"",学校マスタ!$H3&gt;=U$3,学校マスタ!$H3&lt;U$3+7),AND(学校マスタ!$J3&lt;&gt;"",学校マスタ!$J3&gt;=U$3,学校マスタ!$J3&lt;U$3+7),AND(学校マスタ!$L3&lt;&gt;"",学校マスタ!$L3&gt;=U$3,学校マスタ!$L3&lt;U$3+7)),"◆",IF(AND(学校マスタ!$O3&lt;&gt;"",学校マスタ!$P3&lt;&gt;"",学校マスタ!$O3&lt;U$3+7,学校マスタ!$P3&gt;=U$3),"█",IF(AND(学校マスタ!$R3&lt;&gt;"",学校マスタ!$U3&lt;&gt;"",学校マスタ!$R3&lt;U$3+7,学校マスタ!$U3&gt;=U$3),"▒","")))))</f>
        <v/>
      </c>
      <c r="V5" s="26">
        <f>IF(学校マスタ!$A3="","",IF(AND(学校マスタ!$U3&lt;&gt;"",学校マスタ!$U3&gt;=V$3,学校マスタ!$U3&lt;V$3+7),"◎",IF(OR(AND(学校マスタ!$H3&lt;&gt;"",学校マスタ!$H3&gt;=V$3,学校マスタ!$H3&lt;V$3+7),AND(学校マスタ!$J3&lt;&gt;"",学校マスタ!$J3&gt;=V$3,学校マスタ!$J3&lt;V$3+7),AND(学校マスタ!$L3&lt;&gt;"",学校マスタ!$L3&gt;=V$3,学校マスタ!$L3&lt;V$3+7)),"◆",IF(AND(学校マスタ!$O3&lt;&gt;"",学校マスタ!$P3&lt;&gt;"",学校マスタ!$O3&lt;V$3+7,学校マスタ!$P3&gt;=V$3),"█",IF(AND(学校マスタ!$R3&lt;&gt;"",学校マスタ!$U3&lt;&gt;"",学校マスタ!$R3&lt;V$3+7,学校マスタ!$U3&gt;=V$3),"▒","")))))</f>
        <v/>
      </c>
      <c r="W5" s="26">
        <f>IF(学校マスタ!$A3="","",IF(AND(学校マスタ!$U3&lt;&gt;"",学校マスタ!$U3&gt;=W$3,学校マスタ!$U3&lt;W$3+7),"◎",IF(OR(AND(学校マスタ!$H3&lt;&gt;"",学校マスタ!$H3&gt;=W$3,学校マスタ!$H3&lt;W$3+7),AND(学校マスタ!$J3&lt;&gt;"",学校マスタ!$J3&gt;=W$3,学校マスタ!$J3&lt;W$3+7),AND(学校マスタ!$L3&lt;&gt;"",学校マスタ!$L3&gt;=W$3,学校マスタ!$L3&lt;W$3+7)),"◆",IF(AND(学校マスタ!$O3&lt;&gt;"",学校マスタ!$P3&lt;&gt;"",学校マスタ!$O3&lt;W$3+7,学校マスタ!$P3&gt;=W$3),"█",IF(AND(学校マスタ!$R3&lt;&gt;"",学校マスタ!$U3&lt;&gt;"",学校マスタ!$R3&lt;W$3+7,学校マスタ!$U3&gt;=W$3),"▒","")))))</f>
        <v/>
      </c>
      <c r="X5" s="26">
        <f>IF(学校マスタ!$A3="","",IF(AND(学校マスタ!$U3&lt;&gt;"",学校マスタ!$U3&gt;=X$3,学校マスタ!$U3&lt;X$3+7),"◎",IF(OR(AND(学校マスタ!$H3&lt;&gt;"",学校マスタ!$H3&gt;=X$3,学校マスタ!$H3&lt;X$3+7),AND(学校マスタ!$J3&lt;&gt;"",学校マスタ!$J3&gt;=X$3,学校マスタ!$J3&lt;X$3+7),AND(学校マスタ!$L3&lt;&gt;"",学校マスタ!$L3&gt;=X$3,学校マスタ!$L3&lt;X$3+7)),"◆",IF(AND(学校マスタ!$O3&lt;&gt;"",学校マスタ!$P3&lt;&gt;"",学校マスタ!$O3&lt;X$3+7,学校マスタ!$P3&gt;=X$3),"█",IF(AND(学校マスタ!$R3&lt;&gt;"",学校マスタ!$U3&lt;&gt;"",学校マスタ!$R3&lt;X$3+7,学校マスタ!$U3&gt;=X$3),"▒","")))))</f>
        <v/>
      </c>
      <c r="Y5" s="26">
        <f>IF(学校マスタ!$A3="","",IF(AND(学校マスタ!$U3&lt;&gt;"",学校マスタ!$U3&gt;=Y$3,学校マスタ!$U3&lt;Y$3+7),"◎",IF(OR(AND(学校マスタ!$H3&lt;&gt;"",学校マスタ!$H3&gt;=Y$3,学校マスタ!$H3&lt;Y$3+7),AND(学校マスタ!$J3&lt;&gt;"",学校マスタ!$J3&gt;=Y$3,学校マスタ!$J3&lt;Y$3+7),AND(学校マスタ!$L3&lt;&gt;"",学校マスタ!$L3&gt;=Y$3,学校マスタ!$L3&lt;Y$3+7)),"◆",IF(AND(学校マスタ!$O3&lt;&gt;"",学校マスタ!$P3&lt;&gt;"",学校マスタ!$O3&lt;Y$3+7,学校マスタ!$P3&gt;=Y$3),"█",IF(AND(学校マスタ!$R3&lt;&gt;"",学校マスタ!$U3&lt;&gt;"",学校マスタ!$R3&lt;Y$3+7,学校マスタ!$U3&gt;=Y$3),"▒","")))))</f>
        <v/>
      </c>
      <c r="Z5" s="26">
        <f>IF(学校マスタ!$A3="","",IF(AND(学校マスタ!$U3&lt;&gt;"",学校マスタ!$U3&gt;=Z$3,学校マスタ!$U3&lt;Z$3+7),"◎",IF(OR(AND(学校マスタ!$H3&lt;&gt;"",学校マスタ!$H3&gt;=Z$3,学校マスタ!$H3&lt;Z$3+7),AND(学校マスタ!$J3&lt;&gt;"",学校マスタ!$J3&gt;=Z$3,学校マスタ!$J3&lt;Z$3+7),AND(学校マスタ!$L3&lt;&gt;"",学校マスタ!$L3&gt;=Z$3,学校マスタ!$L3&lt;Z$3+7)),"◆",IF(AND(学校マスタ!$O3&lt;&gt;"",学校マスタ!$P3&lt;&gt;"",学校マスタ!$O3&lt;Z$3+7,学校マスタ!$P3&gt;=Z$3),"█",IF(AND(学校マスタ!$R3&lt;&gt;"",学校マスタ!$U3&lt;&gt;"",学校マスタ!$R3&lt;Z$3+7,学校マスタ!$U3&gt;=Z$3),"▒","")))))</f>
        <v/>
      </c>
      <c r="AA5" s="26">
        <f>IF(学校マスタ!$A3="","",IF(AND(学校マスタ!$U3&lt;&gt;"",学校マスタ!$U3&gt;=AA$3,学校マスタ!$U3&lt;AA$3+7),"◎",IF(OR(AND(学校マスタ!$H3&lt;&gt;"",学校マスタ!$H3&gt;=AA$3,学校マスタ!$H3&lt;AA$3+7),AND(学校マスタ!$J3&lt;&gt;"",学校マスタ!$J3&gt;=AA$3,学校マスタ!$J3&lt;AA$3+7),AND(学校マスタ!$L3&lt;&gt;"",学校マスタ!$L3&gt;=AA$3,学校マスタ!$L3&lt;AA$3+7)),"◆",IF(AND(学校マスタ!$O3&lt;&gt;"",学校マスタ!$P3&lt;&gt;"",学校マスタ!$O3&lt;AA$3+7,学校マスタ!$P3&gt;=AA$3),"█",IF(AND(学校マスタ!$R3&lt;&gt;"",学校マスタ!$U3&lt;&gt;"",学校マスタ!$R3&lt;AA$3+7,学校マスタ!$U3&gt;=AA$3),"▒","")))))</f>
        <v/>
      </c>
      <c r="AB5" s="26">
        <f>IF(学校マスタ!$A3="","",IF(AND(学校マスタ!$U3&lt;&gt;"",学校マスタ!$U3&gt;=AB$3,学校マスタ!$U3&lt;AB$3+7),"◎",IF(OR(AND(学校マスタ!$H3&lt;&gt;"",学校マスタ!$H3&gt;=AB$3,学校マスタ!$H3&lt;AB$3+7),AND(学校マスタ!$J3&lt;&gt;"",学校マスタ!$J3&gt;=AB$3,学校マスタ!$J3&lt;AB$3+7),AND(学校マスタ!$L3&lt;&gt;"",学校マスタ!$L3&gt;=AB$3,学校マスタ!$L3&lt;AB$3+7)),"◆",IF(AND(学校マスタ!$O3&lt;&gt;"",学校マスタ!$P3&lt;&gt;"",学校マスタ!$O3&lt;AB$3+7,学校マスタ!$P3&gt;=AB$3),"█",IF(AND(学校マスタ!$R3&lt;&gt;"",学校マスタ!$U3&lt;&gt;"",学校マスタ!$R3&lt;AB$3+7,学校マスタ!$U3&gt;=AB$3),"▒","")))))</f>
        <v/>
      </c>
    </row>
    <row r="6">
      <c r="A6" s="19">
        <f>IF(学校マスタ!$A4="","",学校マスタ!$A4)</f>
        <v/>
      </c>
      <c r="B6" s="19">
        <f>IF(学校マスタ!$A4="","",学校マスタ!$C4)</f>
        <v/>
      </c>
      <c r="C6" s="19">
        <f>IF(学校マスタ!$A4="","",学校マスタ!$X4)</f>
        <v/>
      </c>
      <c r="D6" s="25">
        <f>IF(学校マスタ!$A4="","",学校マスタ!$R4)</f>
        <v/>
      </c>
      <c r="E6" s="26">
        <f>IF(学校マスタ!$A4="","",IF(AND(学校マスタ!$U4&lt;&gt;"",学校マスタ!$U4&gt;=E$3,学校マスタ!$U4&lt;E$3+7),"◎",IF(OR(AND(学校マスタ!$H4&lt;&gt;"",学校マスタ!$H4&gt;=E$3,学校マスタ!$H4&lt;E$3+7),AND(学校マスタ!$J4&lt;&gt;"",学校マスタ!$J4&gt;=E$3,学校マスタ!$J4&lt;E$3+7),AND(学校マスタ!$L4&lt;&gt;"",学校マスタ!$L4&gt;=E$3,学校マスタ!$L4&lt;E$3+7)),"◆",IF(AND(学校マスタ!$O4&lt;&gt;"",学校マスタ!$P4&lt;&gt;"",学校マスタ!$O4&lt;E$3+7,学校マスタ!$P4&gt;=E$3),"█",IF(AND(学校マスタ!$R4&lt;&gt;"",学校マスタ!$U4&lt;&gt;"",学校マスタ!$R4&lt;E$3+7,学校マスタ!$U4&gt;=E$3),"▒","")))))</f>
        <v/>
      </c>
      <c r="F6" s="26">
        <f>IF(学校マスタ!$A4="","",IF(AND(学校マスタ!$U4&lt;&gt;"",学校マスタ!$U4&gt;=F$3,学校マスタ!$U4&lt;F$3+7),"◎",IF(OR(AND(学校マスタ!$H4&lt;&gt;"",学校マスタ!$H4&gt;=F$3,学校マスタ!$H4&lt;F$3+7),AND(学校マスタ!$J4&lt;&gt;"",学校マスタ!$J4&gt;=F$3,学校マスタ!$J4&lt;F$3+7),AND(学校マスタ!$L4&lt;&gt;"",学校マスタ!$L4&gt;=F$3,学校マスタ!$L4&lt;F$3+7)),"◆",IF(AND(学校マスタ!$O4&lt;&gt;"",学校マスタ!$P4&lt;&gt;"",学校マスタ!$O4&lt;F$3+7,学校マスタ!$P4&gt;=F$3),"█",IF(AND(学校マスタ!$R4&lt;&gt;"",学校マスタ!$U4&lt;&gt;"",学校マスタ!$R4&lt;F$3+7,学校マスタ!$U4&gt;=F$3),"▒","")))))</f>
        <v/>
      </c>
      <c r="G6" s="26">
        <f>IF(学校マスタ!$A4="","",IF(AND(学校マスタ!$U4&lt;&gt;"",学校マスタ!$U4&gt;=G$3,学校マスタ!$U4&lt;G$3+7),"◎",IF(OR(AND(学校マスタ!$H4&lt;&gt;"",学校マスタ!$H4&gt;=G$3,学校マスタ!$H4&lt;G$3+7),AND(学校マスタ!$J4&lt;&gt;"",学校マスタ!$J4&gt;=G$3,学校マスタ!$J4&lt;G$3+7),AND(学校マスタ!$L4&lt;&gt;"",学校マスタ!$L4&gt;=G$3,学校マスタ!$L4&lt;G$3+7)),"◆",IF(AND(学校マスタ!$O4&lt;&gt;"",学校マスタ!$P4&lt;&gt;"",学校マスタ!$O4&lt;G$3+7,学校マスタ!$P4&gt;=G$3),"█",IF(AND(学校マスタ!$R4&lt;&gt;"",学校マスタ!$U4&lt;&gt;"",学校マスタ!$R4&lt;G$3+7,学校マスタ!$U4&gt;=G$3),"▒","")))))</f>
        <v/>
      </c>
      <c r="H6" s="26">
        <f>IF(学校マスタ!$A4="","",IF(AND(学校マスタ!$U4&lt;&gt;"",学校マスタ!$U4&gt;=H$3,学校マスタ!$U4&lt;H$3+7),"◎",IF(OR(AND(学校マスタ!$H4&lt;&gt;"",学校マスタ!$H4&gt;=H$3,学校マスタ!$H4&lt;H$3+7),AND(学校マスタ!$J4&lt;&gt;"",学校マスタ!$J4&gt;=H$3,学校マスタ!$J4&lt;H$3+7),AND(学校マスタ!$L4&lt;&gt;"",学校マスタ!$L4&gt;=H$3,学校マスタ!$L4&lt;H$3+7)),"◆",IF(AND(学校マスタ!$O4&lt;&gt;"",学校マスタ!$P4&lt;&gt;"",学校マスタ!$O4&lt;H$3+7,学校マスタ!$P4&gt;=H$3),"█",IF(AND(学校マスタ!$R4&lt;&gt;"",学校マスタ!$U4&lt;&gt;"",学校マスタ!$R4&lt;H$3+7,学校マスタ!$U4&gt;=H$3),"▒","")))))</f>
        <v/>
      </c>
      <c r="I6" s="26">
        <f>IF(学校マスタ!$A4="","",IF(AND(学校マスタ!$U4&lt;&gt;"",学校マスタ!$U4&gt;=I$3,学校マスタ!$U4&lt;I$3+7),"◎",IF(OR(AND(学校マスタ!$H4&lt;&gt;"",学校マスタ!$H4&gt;=I$3,学校マスタ!$H4&lt;I$3+7),AND(学校マスタ!$J4&lt;&gt;"",学校マスタ!$J4&gt;=I$3,学校マスタ!$J4&lt;I$3+7),AND(学校マスタ!$L4&lt;&gt;"",学校マスタ!$L4&gt;=I$3,学校マスタ!$L4&lt;I$3+7)),"◆",IF(AND(学校マスタ!$O4&lt;&gt;"",学校マスタ!$P4&lt;&gt;"",学校マスタ!$O4&lt;I$3+7,学校マスタ!$P4&gt;=I$3),"█",IF(AND(学校マスタ!$R4&lt;&gt;"",学校マスタ!$U4&lt;&gt;"",学校マスタ!$R4&lt;I$3+7,学校マスタ!$U4&gt;=I$3),"▒","")))))</f>
        <v/>
      </c>
      <c r="J6" s="26">
        <f>IF(学校マスタ!$A4="","",IF(AND(学校マスタ!$U4&lt;&gt;"",学校マスタ!$U4&gt;=J$3,学校マスタ!$U4&lt;J$3+7),"◎",IF(OR(AND(学校マスタ!$H4&lt;&gt;"",学校マスタ!$H4&gt;=J$3,学校マスタ!$H4&lt;J$3+7),AND(学校マスタ!$J4&lt;&gt;"",学校マスタ!$J4&gt;=J$3,学校マスタ!$J4&lt;J$3+7),AND(学校マスタ!$L4&lt;&gt;"",学校マスタ!$L4&gt;=J$3,学校マスタ!$L4&lt;J$3+7)),"◆",IF(AND(学校マスタ!$O4&lt;&gt;"",学校マスタ!$P4&lt;&gt;"",学校マスタ!$O4&lt;J$3+7,学校マスタ!$P4&gt;=J$3),"█",IF(AND(学校マスタ!$R4&lt;&gt;"",学校マスタ!$U4&lt;&gt;"",学校マスタ!$R4&lt;J$3+7,学校マスタ!$U4&gt;=J$3),"▒","")))))</f>
        <v/>
      </c>
      <c r="K6" s="26">
        <f>IF(学校マスタ!$A4="","",IF(AND(学校マスタ!$U4&lt;&gt;"",学校マスタ!$U4&gt;=K$3,学校マスタ!$U4&lt;K$3+7),"◎",IF(OR(AND(学校マスタ!$H4&lt;&gt;"",学校マスタ!$H4&gt;=K$3,学校マスタ!$H4&lt;K$3+7),AND(学校マスタ!$J4&lt;&gt;"",学校マスタ!$J4&gt;=K$3,学校マスタ!$J4&lt;K$3+7),AND(学校マスタ!$L4&lt;&gt;"",学校マスタ!$L4&gt;=K$3,学校マスタ!$L4&lt;K$3+7)),"◆",IF(AND(学校マスタ!$O4&lt;&gt;"",学校マスタ!$P4&lt;&gt;"",学校マスタ!$O4&lt;K$3+7,学校マスタ!$P4&gt;=K$3),"█",IF(AND(学校マスタ!$R4&lt;&gt;"",学校マスタ!$U4&lt;&gt;"",学校マスタ!$R4&lt;K$3+7,学校マスタ!$U4&gt;=K$3),"▒","")))))</f>
        <v/>
      </c>
      <c r="L6" s="26">
        <f>IF(学校マスタ!$A4="","",IF(AND(学校マスタ!$U4&lt;&gt;"",学校マスタ!$U4&gt;=L$3,学校マスタ!$U4&lt;L$3+7),"◎",IF(OR(AND(学校マスタ!$H4&lt;&gt;"",学校マスタ!$H4&gt;=L$3,学校マスタ!$H4&lt;L$3+7),AND(学校マスタ!$J4&lt;&gt;"",学校マスタ!$J4&gt;=L$3,学校マスタ!$J4&lt;L$3+7),AND(学校マスタ!$L4&lt;&gt;"",学校マスタ!$L4&gt;=L$3,学校マスタ!$L4&lt;L$3+7)),"◆",IF(AND(学校マスタ!$O4&lt;&gt;"",学校マスタ!$P4&lt;&gt;"",学校マスタ!$O4&lt;L$3+7,学校マスタ!$P4&gt;=L$3),"█",IF(AND(学校マスタ!$R4&lt;&gt;"",学校マスタ!$U4&lt;&gt;"",学校マスタ!$R4&lt;L$3+7,学校マスタ!$U4&gt;=L$3),"▒","")))))</f>
        <v/>
      </c>
      <c r="M6" s="26">
        <f>IF(学校マスタ!$A4="","",IF(AND(学校マスタ!$U4&lt;&gt;"",学校マスタ!$U4&gt;=M$3,学校マスタ!$U4&lt;M$3+7),"◎",IF(OR(AND(学校マスタ!$H4&lt;&gt;"",学校マスタ!$H4&gt;=M$3,学校マスタ!$H4&lt;M$3+7),AND(学校マスタ!$J4&lt;&gt;"",学校マスタ!$J4&gt;=M$3,学校マスタ!$J4&lt;M$3+7),AND(学校マスタ!$L4&lt;&gt;"",学校マスタ!$L4&gt;=M$3,学校マスタ!$L4&lt;M$3+7)),"◆",IF(AND(学校マスタ!$O4&lt;&gt;"",学校マスタ!$P4&lt;&gt;"",学校マスタ!$O4&lt;M$3+7,学校マスタ!$P4&gt;=M$3),"█",IF(AND(学校マスタ!$R4&lt;&gt;"",学校マスタ!$U4&lt;&gt;"",学校マスタ!$R4&lt;M$3+7,学校マスタ!$U4&gt;=M$3),"▒","")))))</f>
        <v/>
      </c>
      <c r="N6" s="26">
        <f>IF(学校マスタ!$A4="","",IF(AND(学校マスタ!$U4&lt;&gt;"",学校マスタ!$U4&gt;=N$3,学校マスタ!$U4&lt;N$3+7),"◎",IF(OR(AND(学校マスタ!$H4&lt;&gt;"",学校マスタ!$H4&gt;=N$3,学校マスタ!$H4&lt;N$3+7),AND(学校マスタ!$J4&lt;&gt;"",学校マスタ!$J4&gt;=N$3,学校マスタ!$J4&lt;N$3+7),AND(学校マスタ!$L4&lt;&gt;"",学校マスタ!$L4&gt;=N$3,学校マスタ!$L4&lt;N$3+7)),"◆",IF(AND(学校マスタ!$O4&lt;&gt;"",学校マスタ!$P4&lt;&gt;"",学校マスタ!$O4&lt;N$3+7,学校マスタ!$P4&gt;=N$3),"█",IF(AND(学校マスタ!$R4&lt;&gt;"",学校マスタ!$U4&lt;&gt;"",学校マスタ!$R4&lt;N$3+7,学校マスタ!$U4&gt;=N$3),"▒","")))))</f>
        <v/>
      </c>
      <c r="O6" s="26">
        <f>IF(学校マスタ!$A4="","",IF(AND(学校マスタ!$U4&lt;&gt;"",学校マスタ!$U4&gt;=O$3,学校マスタ!$U4&lt;O$3+7),"◎",IF(OR(AND(学校マスタ!$H4&lt;&gt;"",学校マスタ!$H4&gt;=O$3,学校マスタ!$H4&lt;O$3+7),AND(学校マスタ!$J4&lt;&gt;"",学校マスタ!$J4&gt;=O$3,学校マスタ!$J4&lt;O$3+7),AND(学校マスタ!$L4&lt;&gt;"",学校マスタ!$L4&gt;=O$3,学校マスタ!$L4&lt;O$3+7)),"◆",IF(AND(学校マスタ!$O4&lt;&gt;"",学校マスタ!$P4&lt;&gt;"",学校マスタ!$O4&lt;O$3+7,学校マスタ!$P4&gt;=O$3),"█",IF(AND(学校マスタ!$R4&lt;&gt;"",学校マスタ!$U4&lt;&gt;"",学校マスタ!$R4&lt;O$3+7,学校マスタ!$U4&gt;=O$3),"▒","")))))</f>
        <v/>
      </c>
      <c r="P6" s="26">
        <f>IF(学校マスタ!$A4="","",IF(AND(学校マスタ!$U4&lt;&gt;"",学校マスタ!$U4&gt;=P$3,学校マスタ!$U4&lt;P$3+7),"◎",IF(OR(AND(学校マスタ!$H4&lt;&gt;"",学校マスタ!$H4&gt;=P$3,学校マスタ!$H4&lt;P$3+7),AND(学校マスタ!$J4&lt;&gt;"",学校マスタ!$J4&gt;=P$3,学校マスタ!$J4&lt;P$3+7),AND(学校マスタ!$L4&lt;&gt;"",学校マスタ!$L4&gt;=P$3,学校マスタ!$L4&lt;P$3+7)),"◆",IF(AND(学校マスタ!$O4&lt;&gt;"",学校マスタ!$P4&lt;&gt;"",学校マスタ!$O4&lt;P$3+7,学校マスタ!$P4&gt;=P$3),"█",IF(AND(学校マスタ!$R4&lt;&gt;"",学校マスタ!$U4&lt;&gt;"",学校マスタ!$R4&lt;P$3+7,学校マスタ!$U4&gt;=P$3),"▒","")))))</f>
        <v/>
      </c>
      <c r="Q6" s="26">
        <f>IF(学校マスタ!$A4="","",IF(AND(学校マスタ!$U4&lt;&gt;"",学校マスタ!$U4&gt;=Q$3,学校マスタ!$U4&lt;Q$3+7),"◎",IF(OR(AND(学校マスタ!$H4&lt;&gt;"",学校マスタ!$H4&gt;=Q$3,学校マスタ!$H4&lt;Q$3+7),AND(学校マスタ!$J4&lt;&gt;"",学校マスタ!$J4&gt;=Q$3,学校マスタ!$J4&lt;Q$3+7),AND(学校マスタ!$L4&lt;&gt;"",学校マスタ!$L4&gt;=Q$3,学校マスタ!$L4&lt;Q$3+7)),"◆",IF(AND(学校マスタ!$O4&lt;&gt;"",学校マスタ!$P4&lt;&gt;"",学校マスタ!$O4&lt;Q$3+7,学校マスタ!$P4&gt;=Q$3),"█",IF(AND(学校マスタ!$R4&lt;&gt;"",学校マスタ!$U4&lt;&gt;"",学校マスタ!$R4&lt;Q$3+7,学校マスタ!$U4&gt;=Q$3),"▒","")))))</f>
        <v/>
      </c>
      <c r="R6" s="26">
        <f>IF(学校マスタ!$A4="","",IF(AND(学校マスタ!$U4&lt;&gt;"",学校マスタ!$U4&gt;=R$3,学校マスタ!$U4&lt;R$3+7),"◎",IF(OR(AND(学校マスタ!$H4&lt;&gt;"",学校マスタ!$H4&gt;=R$3,学校マスタ!$H4&lt;R$3+7),AND(学校マスタ!$J4&lt;&gt;"",学校マスタ!$J4&gt;=R$3,学校マスタ!$J4&lt;R$3+7),AND(学校マスタ!$L4&lt;&gt;"",学校マスタ!$L4&gt;=R$3,学校マスタ!$L4&lt;R$3+7)),"◆",IF(AND(学校マスタ!$O4&lt;&gt;"",学校マスタ!$P4&lt;&gt;"",学校マスタ!$O4&lt;R$3+7,学校マスタ!$P4&gt;=R$3),"█",IF(AND(学校マスタ!$R4&lt;&gt;"",学校マスタ!$U4&lt;&gt;"",学校マスタ!$R4&lt;R$3+7,学校マスタ!$U4&gt;=R$3),"▒","")))))</f>
        <v/>
      </c>
      <c r="S6" s="26">
        <f>IF(学校マスタ!$A4="","",IF(AND(学校マスタ!$U4&lt;&gt;"",学校マスタ!$U4&gt;=S$3,学校マスタ!$U4&lt;S$3+7),"◎",IF(OR(AND(学校マスタ!$H4&lt;&gt;"",学校マスタ!$H4&gt;=S$3,学校マスタ!$H4&lt;S$3+7),AND(学校マスタ!$J4&lt;&gt;"",学校マスタ!$J4&gt;=S$3,学校マスタ!$J4&lt;S$3+7),AND(学校マスタ!$L4&lt;&gt;"",学校マスタ!$L4&gt;=S$3,学校マスタ!$L4&lt;S$3+7)),"◆",IF(AND(学校マスタ!$O4&lt;&gt;"",学校マスタ!$P4&lt;&gt;"",学校マスタ!$O4&lt;S$3+7,学校マスタ!$P4&gt;=S$3),"█",IF(AND(学校マスタ!$R4&lt;&gt;"",学校マスタ!$U4&lt;&gt;"",学校マスタ!$R4&lt;S$3+7,学校マスタ!$U4&gt;=S$3),"▒","")))))</f>
        <v/>
      </c>
      <c r="T6" s="26">
        <f>IF(学校マスタ!$A4="","",IF(AND(学校マスタ!$U4&lt;&gt;"",学校マスタ!$U4&gt;=T$3,学校マスタ!$U4&lt;T$3+7),"◎",IF(OR(AND(学校マスタ!$H4&lt;&gt;"",学校マスタ!$H4&gt;=T$3,学校マスタ!$H4&lt;T$3+7),AND(学校マスタ!$J4&lt;&gt;"",学校マスタ!$J4&gt;=T$3,学校マスタ!$J4&lt;T$3+7),AND(学校マスタ!$L4&lt;&gt;"",学校マスタ!$L4&gt;=T$3,学校マスタ!$L4&lt;T$3+7)),"◆",IF(AND(学校マスタ!$O4&lt;&gt;"",学校マスタ!$P4&lt;&gt;"",学校マスタ!$O4&lt;T$3+7,学校マスタ!$P4&gt;=T$3),"█",IF(AND(学校マスタ!$R4&lt;&gt;"",学校マスタ!$U4&lt;&gt;"",学校マスタ!$R4&lt;T$3+7,学校マスタ!$U4&gt;=T$3),"▒","")))))</f>
        <v/>
      </c>
      <c r="U6" s="26">
        <f>IF(学校マスタ!$A4="","",IF(AND(学校マスタ!$U4&lt;&gt;"",学校マスタ!$U4&gt;=U$3,学校マスタ!$U4&lt;U$3+7),"◎",IF(OR(AND(学校マスタ!$H4&lt;&gt;"",学校マスタ!$H4&gt;=U$3,学校マスタ!$H4&lt;U$3+7),AND(学校マスタ!$J4&lt;&gt;"",学校マスタ!$J4&gt;=U$3,学校マスタ!$J4&lt;U$3+7),AND(学校マスタ!$L4&lt;&gt;"",学校マスタ!$L4&gt;=U$3,学校マスタ!$L4&lt;U$3+7)),"◆",IF(AND(学校マスタ!$O4&lt;&gt;"",学校マスタ!$P4&lt;&gt;"",学校マスタ!$O4&lt;U$3+7,学校マスタ!$P4&gt;=U$3),"█",IF(AND(学校マスタ!$R4&lt;&gt;"",学校マスタ!$U4&lt;&gt;"",学校マスタ!$R4&lt;U$3+7,学校マスタ!$U4&gt;=U$3),"▒","")))))</f>
        <v/>
      </c>
      <c r="V6" s="26">
        <f>IF(学校マスタ!$A4="","",IF(AND(学校マスタ!$U4&lt;&gt;"",学校マスタ!$U4&gt;=V$3,学校マスタ!$U4&lt;V$3+7),"◎",IF(OR(AND(学校マスタ!$H4&lt;&gt;"",学校マスタ!$H4&gt;=V$3,学校マスタ!$H4&lt;V$3+7),AND(学校マスタ!$J4&lt;&gt;"",学校マスタ!$J4&gt;=V$3,学校マスタ!$J4&lt;V$3+7),AND(学校マスタ!$L4&lt;&gt;"",学校マスタ!$L4&gt;=V$3,学校マスタ!$L4&lt;V$3+7)),"◆",IF(AND(学校マスタ!$O4&lt;&gt;"",学校マスタ!$P4&lt;&gt;"",学校マスタ!$O4&lt;V$3+7,学校マスタ!$P4&gt;=V$3),"█",IF(AND(学校マスタ!$R4&lt;&gt;"",学校マスタ!$U4&lt;&gt;"",学校マスタ!$R4&lt;V$3+7,学校マスタ!$U4&gt;=V$3),"▒","")))))</f>
        <v/>
      </c>
      <c r="W6" s="26">
        <f>IF(学校マスタ!$A4="","",IF(AND(学校マスタ!$U4&lt;&gt;"",学校マスタ!$U4&gt;=W$3,学校マスタ!$U4&lt;W$3+7),"◎",IF(OR(AND(学校マスタ!$H4&lt;&gt;"",学校マスタ!$H4&gt;=W$3,学校マスタ!$H4&lt;W$3+7),AND(学校マスタ!$J4&lt;&gt;"",学校マスタ!$J4&gt;=W$3,学校マスタ!$J4&lt;W$3+7),AND(学校マスタ!$L4&lt;&gt;"",学校マスタ!$L4&gt;=W$3,学校マスタ!$L4&lt;W$3+7)),"◆",IF(AND(学校マスタ!$O4&lt;&gt;"",学校マスタ!$P4&lt;&gt;"",学校マスタ!$O4&lt;W$3+7,学校マスタ!$P4&gt;=W$3),"█",IF(AND(学校マスタ!$R4&lt;&gt;"",学校マスタ!$U4&lt;&gt;"",学校マスタ!$R4&lt;W$3+7,学校マスタ!$U4&gt;=W$3),"▒","")))))</f>
        <v/>
      </c>
      <c r="X6" s="26">
        <f>IF(学校マスタ!$A4="","",IF(AND(学校マスタ!$U4&lt;&gt;"",学校マスタ!$U4&gt;=X$3,学校マスタ!$U4&lt;X$3+7),"◎",IF(OR(AND(学校マスタ!$H4&lt;&gt;"",学校マスタ!$H4&gt;=X$3,学校マスタ!$H4&lt;X$3+7),AND(学校マスタ!$J4&lt;&gt;"",学校マスタ!$J4&gt;=X$3,学校マスタ!$J4&lt;X$3+7),AND(学校マスタ!$L4&lt;&gt;"",学校マスタ!$L4&gt;=X$3,学校マスタ!$L4&lt;X$3+7)),"◆",IF(AND(学校マスタ!$O4&lt;&gt;"",学校マスタ!$P4&lt;&gt;"",学校マスタ!$O4&lt;X$3+7,学校マスタ!$P4&gt;=X$3),"█",IF(AND(学校マスタ!$R4&lt;&gt;"",学校マスタ!$U4&lt;&gt;"",学校マスタ!$R4&lt;X$3+7,学校マスタ!$U4&gt;=X$3),"▒","")))))</f>
        <v/>
      </c>
      <c r="Y6" s="26">
        <f>IF(学校マスタ!$A4="","",IF(AND(学校マスタ!$U4&lt;&gt;"",学校マスタ!$U4&gt;=Y$3,学校マスタ!$U4&lt;Y$3+7),"◎",IF(OR(AND(学校マスタ!$H4&lt;&gt;"",学校マスタ!$H4&gt;=Y$3,学校マスタ!$H4&lt;Y$3+7),AND(学校マスタ!$J4&lt;&gt;"",学校マスタ!$J4&gt;=Y$3,学校マスタ!$J4&lt;Y$3+7),AND(学校マスタ!$L4&lt;&gt;"",学校マスタ!$L4&gt;=Y$3,学校マスタ!$L4&lt;Y$3+7)),"◆",IF(AND(学校マスタ!$O4&lt;&gt;"",学校マスタ!$P4&lt;&gt;"",学校マスタ!$O4&lt;Y$3+7,学校マスタ!$P4&gt;=Y$3),"█",IF(AND(学校マスタ!$R4&lt;&gt;"",学校マスタ!$U4&lt;&gt;"",学校マスタ!$R4&lt;Y$3+7,学校マスタ!$U4&gt;=Y$3),"▒","")))))</f>
        <v/>
      </c>
      <c r="Z6" s="26">
        <f>IF(学校マスタ!$A4="","",IF(AND(学校マスタ!$U4&lt;&gt;"",学校マスタ!$U4&gt;=Z$3,学校マスタ!$U4&lt;Z$3+7),"◎",IF(OR(AND(学校マスタ!$H4&lt;&gt;"",学校マスタ!$H4&gt;=Z$3,学校マスタ!$H4&lt;Z$3+7),AND(学校マスタ!$J4&lt;&gt;"",学校マスタ!$J4&gt;=Z$3,学校マスタ!$J4&lt;Z$3+7),AND(学校マスタ!$L4&lt;&gt;"",学校マスタ!$L4&gt;=Z$3,学校マスタ!$L4&lt;Z$3+7)),"◆",IF(AND(学校マスタ!$O4&lt;&gt;"",学校マスタ!$P4&lt;&gt;"",学校マスタ!$O4&lt;Z$3+7,学校マスタ!$P4&gt;=Z$3),"█",IF(AND(学校マスタ!$R4&lt;&gt;"",学校マスタ!$U4&lt;&gt;"",学校マスタ!$R4&lt;Z$3+7,学校マスタ!$U4&gt;=Z$3),"▒","")))))</f>
        <v/>
      </c>
      <c r="AA6" s="26">
        <f>IF(学校マスタ!$A4="","",IF(AND(学校マスタ!$U4&lt;&gt;"",学校マスタ!$U4&gt;=AA$3,学校マスタ!$U4&lt;AA$3+7),"◎",IF(OR(AND(学校マスタ!$H4&lt;&gt;"",学校マスタ!$H4&gt;=AA$3,学校マスタ!$H4&lt;AA$3+7),AND(学校マスタ!$J4&lt;&gt;"",学校マスタ!$J4&gt;=AA$3,学校マスタ!$J4&lt;AA$3+7),AND(学校マスタ!$L4&lt;&gt;"",学校マスタ!$L4&gt;=AA$3,学校マスタ!$L4&lt;AA$3+7)),"◆",IF(AND(学校マスタ!$O4&lt;&gt;"",学校マスタ!$P4&lt;&gt;"",学校マスタ!$O4&lt;AA$3+7,学校マスタ!$P4&gt;=AA$3),"█",IF(AND(学校マスタ!$R4&lt;&gt;"",学校マスタ!$U4&lt;&gt;"",学校マスタ!$R4&lt;AA$3+7,学校マスタ!$U4&gt;=AA$3),"▒","")))))</f>
        <v/>
      </c>
      <c r="AB6" s="26">
        <f>IF(学校マスタ!$A4="","",IF(AND(学校マスタ!$U4&lt;&gt;"",学校マスタ!$U4&gt;=AB$3,学校マスタ!$U4&lt;AB$3+7),"◎",IF(OR(AND(学校マスタ!$H4&lt;&gt;"",学校マスタ!$H4&gt;=AB$3,学校マスタ!$H4&lt;AB$3+7),AND(学校マスタ!$J4&lt;&gt;"",学校マスタ!$J4&gt;=AB$3,学校マスタ!$J4&lt;AB$3+7),AND(学校マスタ!$L4&lt;&gt;"",学校マスタ!$L4&gt;=AB$3,学校マスタ!$L4&lt;AB$3+7)),"◆",IF(AND(学校マスタ!$O4&lt;&gt;"",学校マスタ!$P4&lt;&gt;"",学校マスタ!$O4&lt;AB$3+7,学校マスタ!$P4&gt;=AB$3),"█",IF(AND(学校マスタ!$R4&lt;&gt;"",学校マスタ!$U4&lt;&gt;"",学校マスタ!$R4&lt;AB$3+7,学校マスタ!$U4&gt;=AB$3),"▒","")))))</f>
        <v/>
      </c>
    </row>
    <row r="7">
      <c r="A7" s="19">
        <f>IF(学校マスタ!$A5="","",学校マスタ!$A5)</f>
        <v/>
      </c>
      <c r="B7" s="19">
        <f>IF(学校マスタ!$A5="","",学校マスタ!$C5)</f>
        <v/>
      </c>
      <c r="C7" s="19">
        <f>IF(学校マスタ!$A5="","",学校マスタ!$X5)</f>
        <v/>
      </c>
      <c r="D7" s="25">
        <f>IF(学校マスタ!$A5="","",学校マスタ!$R5)</f>
        <v/>
      </c>
      <c r="E7" s="26">
        <f>IF(学校マスタ!$A5="","",IF(AND(学校マスタ!$U5&lt;&gt;"",学校マスタ!$U5&gt;=E$3,学校マスタ!$U5&lt;E$3+7),"◎",IF(OR(AND(学校マスタ!$H5&lt;&gt;"",学校マスタ!$H5&gt;=E$3,学校マスタ!$H5&lt;E$3+7),AND(学校マスタ!$J5&lt;&gt;"",学校マスタ!$J5&gt;=E$3,学校マスタ!$J5&lt;E$3+7),AND(学校マスタ!$L5&lt;&gt;"",学校マスタ!$L5&gt;=E$3,学校マスタ!$L5&lt;E$3+7)),"◆",IF(AND(学校マスタ!$O5&lt;&gt;"",学校マスタ!$P5&lt;&gt;"",学校マスタ!$O5&lt;E$3+7,学校マスタ!$P5&gt;=E$3),"█",IF(AND(学校マスタ!$R5&lt;&gt;"",学校マスタ!$U5&lt;&gt;"",学校マスタ!$R5&lt;E$3+7,学校マスタ!$U5&gt;=E$3),"▒","")))))</f>
        <v/>
      </c>
      <c r="F7" s="26">
        <f>IF(学校マスタ!$A5="","",IF(AND(学校マスタ!$U5&lt;&gt;"",学校マスタ!$U5&gt;=F$3,学校マスタ!$U5&lt;F$3+7),"◎",IF(OR(AND(学校マスタ!$H5&lt;&gt;"",学校マスタ!$H5&gt;=F$3,学校マスタ!$H5&lt;F$3+7),AND(学校マスタ!$J5&lt;&gt;"",学校マスタ!$J5&gt;=F$3,学校マスタ!$J5&lt;F$3+7),AND(学校マスタ!$L5&lt;&gt;"",学校マスタ!$L5&gt;=F$3,学校マスタ!$L5&lt;F$3+7)),"◆",IF(AND(学校マスタ!$O5&lt;&gt;"",学校マスタ!$P5&lt;&gt;"",学校マスタ!$O5&lt;F$3+7,学校マスタ!$P5&gt;=F$3),"█",IF(AND(学校マスタ!$R5&lt;&gt;"",学校マスタ!$U5&lt;&gt;"",学校マスタ!$R5&lt;F$3+7,学校マスタ!$U5&gt;=F$3),"▒","")))))</f>
        <v/>
      </c>
      <c r="G7" s="26">
        <f>IF(学校マスタ!$A5="","",IF(AND(学校マスタ!$U5&lt;&gt;"",学校マスタ!$U5&gt;=G$3,学校マスタ!$U5&lt;G$3+7),"◎",IF(OR(AND(学校マスタ!$H5&lt;&gt;"",学校マスタ!$H5&gt;=G$3,学校マスタ!$H5&lt;G$3+7),AND(学校マスタ!$J5&lt;&gt;"",学校マスタ!$J5&gt;=G$3,学校マスタ!$J5&lt;G$3+7),AND(学校マスタ!$L5&lt;&gt;"",学校マスタ!$L5&gt;=G$3,学校マスタ!$L5&lt;G$3+7)),"◆",IF(AND(学校マスタ!$O5&lt;&gt;"",学校マスタ!$P5&lt;&gt;"",学校マスタ!$O5&lt;G$3+7,学校マスタ!$P5&gt;=G$3),"█",IF(AND(学校マスタ!$R5&lt;&gt;"",学校マスタ!$U5&lt;&gt;"",学校マスタ!$R5&lt;G$3+7,学校マスタ!$U5&gt;=G$3),"▒","")))))</f>
        <v/>
      </c>
      <c r="H7" s="26">
        <f>IF(学校マスタ!$A5="","",IF(AND(学校マスタ!$U5&lt;&gt;"",学校マスタ!$U5&gt;=H$3,学校マスタ!$U5&lt;H$3+7),"◎",IF(OR(AND(学校マスタ!$H5&lt;&gt;"",学校マスタ!$H5&gt;=H$3,学校マスタ!$H5&lt;H$3+7),AND(学校マスタ!$J5&lt;&gt;"",学校マスタ!$J5&gt;=H$3,学校マスタ!$J5&lt;H$3+7),AND(学校マスタ!$L5&lt;&gt;"",学校マスタ!$L5&gt;=H$3,学校マスタ!$L5&lt;H$3+7)),"◆",IF(AND(学校マスタ!$O5&lt;&gt;"",学校マスタ!$P5&lt;&gt;"",学校マスタ!$O5&lt;H$3+7,学校マスタ!$P5&gt;=H$3),"█",IF(AND(学校マスタ!$R5&lt;&gt;"",学校マスタ!$U5&lt;&gt;"",学校マスタ!$R5&lt;H$3+7,学校マスタ!$U5&gt;=H$3),"▒","")))))</f>
        <v/>
      </c>
      <c r="I7" s="26">
        <f>IF(学校マスタ!$A5="","",IF(AND(学校マスタ!$U5&lt;&gt;"",学校マスタ!$U5&gt;=I$3,学校マスタ!$U5&lt;I$3+7),"◎",IF(OR(AND(学校マスタ!$H5&lt;&gt;"",学校マスタ!$H5&gt;=I$3,学校マスタ!$H5&lt;I$3+7),AND(学校マスタ!$J5&lt;&gt;"",学校マスタ!$J5&gt;=I$3,学校マスタ!$J5&lt;I$3+7),AND(学校マスタ!$L5&lt;&gt;"",学校マスタ!$L5&gt;=I$3,学校マスタ!$L5&lt;I$3+7)),"◆",IF(AND(学校マスタ!$O5&lt;&gt;"",学校マスタ!$P5&lt;&gt;"",学校マスタ!$O5&lt;I$3+7,学校マスタ!$P5&gt;=I$3),"█",IF(AND(学校マスタ!$R5&lt;&gt;"",学校マスタ!$U5&lt;&gt;"",学校マスタ!$R5&lt;I$3+7,学校マスタ!$U5&gt;=I$3),"▒","")))))</f>
        <v/>
      </c>
      <c r="J7" s="26">
        <f>IF(学校マスタ!$A5="","",IF(AND(学校マスタ!$U5&lt;&gt;"",学校マスタ!$U5&gt;=J$3,学校マスタ!$U5&lt;J$3+7),"◎",IF(OR(AND(学校マスタ!$H5&lt;&gt;"",学校マスタ!$H5&gt;=J$3,学校マスタ!$H5&lt;J$3+7),AND(学校マスタ!$J5&lt;&gt;"",学校マスタ!$J5&gt;=J$3,学校マスタ!$J5&lt;J$3+7),AND(学校マスタ!$L5&lt;&gt;"",学校マスタ!$L5&gt;=J$3,学校マスタ!$L5&lt;J$3+7)),"◆",IF(AND(学校マスタ!$O5&lt;&gt;"",学校マスタ!$P5&lt;&gt;"",学校マスタ!$O5&lt;J$3+7,学校マスタ!$P5&gt;=J$3),"█",IF(AND(学校マスタ!$R5&lt;&gt;"",学校マスタ!$U5&lt;&gt;"",学校マスタ!$R5&lt;J$3+7,学校マスタ!$U5&gt;=J$3),"▒","")))))</f>
        <v/>
      </c>
      <c r="K7" s="26">
        <f>IF(学校マスタ!$A5="","",IF(AND(学校マスタ!$U5&lt;&gt;"",学校マスタ!$U5&gt;=K$3,学校マスタ!$U5&lt;K$3+7),"◎",IF(OR(AND(学校マスタ!$H5&lt;&gt;"",学校マスタ!$H5&gt;=K$3,学校マスタ!$H5&lt;K$3+7),AND(学校マスタ!$J5&lt;&gt;"",学校マスタ!$J5&gt;=K$3,学校マスタ!$J5&lt;K$3+7),AND(学校マスタ!$L5&lt;&gt;"",学校マスタ!$L5&gt;=K$3,学校マスタ!$L5&lt;K$3+7)),"◆",IF(AND(学校マスタ!$O5&lt;&gt;"",学校マスタ!$P5&lt;&gt;"",学校マスタ!$O5&lt;K$3+7,学校マスタ!$P5&gt;=K$3),"█",IF(AND(学校マスタ!$R5&lt;&gt;"",学校マスタ!$U5&lt;&gt;"",学校マスタ!$R5&lt;K$3+7,学校マスタ!$U5&gt;=K$3),"▒","")))))</f>
        <v/>
      </c>
      <c r="L7" s="26">
        <f>IF(学校マスタ!$A5="","",IF(AND(学校マスタ!$U5&lt;&gt;"",学校マスタ!$U5&gt;=L$3,学校マスタ!$U5&lt;L$3+7),"◎",IF(OR(AND(学校マスタ!$H5&lt;&gt;"",学校マスタ!$H5&gt;=L$3,学校マスタ!$H5&lt;L$3+7),AND(学校マスタ!$J5&lt;&gt;"",学校マスタ!$J5&gt;=L$3,学校マスタ!$J5&lt;L$3+7),AND(学校マスタ!$L5&lt;&gt;"",学校マスタ!$L5&gt;=L$3,学校マスタ!$L5&lt;L$3+7)),"◆",IF(AND(学校マスタ!$O5&lt;&gt;"",学校マスタ!$P5&lt;&gt;"",学校マスタ!$O5&lt;L$3+7,学校マスタ!$P5&gt;=L$3),"█",IF(AND(学校マスタ!$R5&lt;&gt;"",学校マスタ!$U5&lt;&gt;"",学校マスタ!$R5&lt;L$3+7,学校マスタ!$U5&gt;=L$3),"▒","")))))</f>
        <v/>
      </c>
      <c r="M7" s="26">
        <f>IF(学校マスタ!$A5="","",IF(AND(学校マスタ!$U5&lt;&gt;"",学校マスタ!$U5&gt;=M$3,学校マスタ!$U5&lt;M$3+7),"◎",IF(OR(AND(学校マスタ!$H5&lt;&gt;"",学校マスタ!$H5&gt;=M$3,学校マスタ!$H5&lt;M$3+7),AND(学校マスタ!$J5&lt;&gt;"",学校マスタ!$J5&gt;=M$3,学校マスタ!$J5&lt;M$3+7),AND(学校マスタ!$L5&lt;&gt;"",学校マスタ!$L5&gt;=M$3,学校マスタ!$L5&lt;M$3+7)),"◆",IF(AND(学校マスタ!$O5&lt;&gt;"",学校マスタ!$P5&lt;&gt;"",学校マスタ!$O5&lt;M$3+7,学校マスタ!$P5&gt;=M$3),"█",IF(AND(学校マスタ!$R5&lt;&gt;"",学校マスタ!$U5&lt;&gt;"",学校マスタ!$R5&lt;M$3+7,学校マスタ!$U5&gt;=M$3),"▒","")))))</f>
        <v/>
      </c>
      <c r="N7" s="26">
        <f>IF(学校マスタ!$A5="","",IF(AND(学校マスタ!$U5&lt;&gt;"",学校マスタ!$U5&gt;=N$3,学校マスタ!$U5&lt;N$3+7),"◎",IF(OR(AND(学校マスタ!$H5&lt;&gt;"",学校マスタ!$H5&gt;=N$3,学校マスタ!$H5&lt;N$3+7),AND(学校マスタ!$J5&lt;&gt;"",学校マスタ!$J5&gt;=N$3,学校マスタ!$J5&lt;N$3+7),AND(学校マスタ!$L5&lt;&gt;"",学校マスタ!$L5&gt;=N$3,学校マスタ!$L5&lt;N$3+7)),"◆",IF(AND(学校マスタ!$O5&lt;&gt;"",学校マスタ!$P5&lt;&gt;"",学校マスタ!$O5&lt;N$3+7,学校マスタ!$P5&gt;=N$3),"█",IF(AND(学校マスタ!$R5&lt;&gt;"",学校マスタ!$U5&lt;&gt;"",学校マスタ!$R5&lt;N$3+7,学校マスタ!$U5&gt;=N$3),"▒","")))))</f>
        <v/>
      </c>
      <c r="O7" s="26">
        <f>IF(学校マスタ!$A5="","",IF(AND(学校マスタ!$U5&lt;&gt;"",学校マスタ!$U5&gt;=O$3,学校マスタ!$U5&lt;O$3+7),"◎",IF(OR(AND(学校マスタ!$H5&lt;&gt;"",学校マスタ!$H5&gt;=O$3,学校マスタ!$H5&lt;O$3+7),AND(学校マスタ!$J5&lt;&gt;"",学校マスタ!$J5&gt;=O$3,学校マスタ!$J5&lt;O$3+7),AND(学校マスタ!$L5&lt;&gt;"",学校マスタ!$L5&gt;=O$3,学校マスタ!$L5&lt;O$3+7)),"◆",IF(AND(学校マスタ!$O5&lt;&gt;"",学校マスタ!$P5&lt;&gt;"",学校マスタ!$O5&lt;O$3+7,学校マスタ!$P5&gt;=O$3),"█",IF(AND(学校マスタ!$R5&lt;&gt;"",学校マスタ!$U5&lt;&gt;"",学校マスタ!$R5&lt;O$3+7,学校マスタ!$U5&gt;=O$3),"▒","")))))</f>
        <v/>
      </c>
      <c r="P7" s="26">
        <f>IF(学校マスタ!$A5="","",IF(AND(学校マスタ!$U5&lt;&gt;"",学校マスタ!$U5&gt;=P$3,学校マスタ!$U5&lt;P$3+7),"◎",IF(OR(AND(学校マスタ!$H5&lt;&gt;"",学校マスタ!$H5&gt;=P$3,学校マスタ!$H5&lt;P$3+7),AND(学校マスタ!$J5&lt;&gt;"",学校マスタ!$J5&gt;=P$3,学校マスタ!$J5&lt;P$3+7),AND(学校マスタ!$L5&lt;&gt;"",学校マスタ!$L5&gt;=P$3,学校マスタ!$L5&lt;P$3+7)),"◆",IF(AND(学校マスタ!$O5&lt;&gt;"",学校マスタ!$P5&lt;&gt;"",学校マスタ!$O5&lt;P$3+7,学校マスタ!$P5&gt;=P$3),"█",IF(AND(学校マスタ!$R5&lt;&gt;"",学校マスタ!$U5&lt;&gt;"",学校マスタ!$R5&lt;P$3+7,学校マスタ!$U5&gt;=P$3),"▒","")))))</f>
        <v/>
      </c>
      <c r="Q7" s="26">
        <f>IF(学校マスタ!$A5="","",IF(AND(学校マスタ!$U5&lt;&gt;"",学校マスタ!$U5&gt;=Q$3,学校マスタ!$U5&lt;Q$3+7),"◎",IF(OR(AND(学校マスタ!$H5&lt;&gt;"",学校マスタ!$H5&gt;=Q$3,学校マスタ!$H5&lt;Q$3+7),AND(学校マスタ!$J5&lt;&gt;"",学校マスタ!$J5&gt;=Q$3,学校マスタ!$J5&lt;Q$3+7),AND(学校マスタ!$L5&lt;&gt;"",学校マスタ!$L5&gt;=Q$3,学校マスタ!$L5&lt;Q$3+7)),"◆",IF(AND(学校マスタ!$O5&lt;&gt;"",学校マスタ!$P5&lt;&gt;"",学校マスタ!$O5&lt;Q$3+7,学校マスタ!$P5&gt;=Q$3),"█",IF(AND(学校マスタ!$R5&lt;&gt;"",学校マスタ!$U5&lt;&gt;"",学校マスタ!$R5&lt;Q$3+7,学校マスタ!$U5&gt;=Q$3),"▒","")))))</f>
        <v/>
      </c>
      <c r="R7" s="26">
        <f>IF(学校マスタ!$A5="","",IF(AND(学校マスタ!$U5&lt;&gt;"",学校マスタ!$U5&gt;=R$3,学校マスタ!$U5&lt;R$3+7),"◎",IF(OR(AND(学校マスタ!$H5&lt;&gt;"",学校マスタ!$H5&gt;=R$3,学校マスタ!$H5&lt;R$3+7),AND(学校マスタ!$J5&lt;&gt;"",学校マスタ!$J5&gt;=R$3,学校マスタ!$J5&lt;R$3+7),AND(学校マスタ!$L5&lt;&gt;"",学校マスタ!$L5&gt;=R$3,学校マスタ!$L5&lt;R$3+7)),"◆",IF(AND(学校マスタ!$O5&lt;&gt;"",学校マスタ!$P5&lt;&gt;"",学校マスタ!$O5&lt;R$3+7,学校マスタ!$P5&gt;=R$3),"█",IF(AND(学校マスタ!$R5&lt;&gt;"",学校マスタ!$U5&lt;&gt;"",学校マスタ!$R5&lt;R$3+7,学校マスタ!$U5&gt;=R$3),"▒","")))))</f>
        <v/>
      </c>
      <c r="S7" s="26">
        <f>IF(学校マスタ!$A5="","",IF(AND(学校マスタ!$U5&lt;&gt;"",学校マスタ!$U5&gt;=S$3,学校マスタ!$U5&lt;S$3+7),"◎",IF(OR(AND(学校マスタ!$H5&lt;&gt;"",学校マスタ!$H5&gt;=S$3,学校マスタ!$H5&lt;S$3+7),AND(学校マスタ!$J5&lt;&gt;"",学校マスタ!$J5&gt;=S$3,学校マスタ!$J5&lt;S$3+7),AND(学校マスタ!$L5&lt;&gt;"",学校マスタ!$L5&gt;=S$3,学校マスタ!$L5&lt;S$3+7)),"◆",IF(AND(学校マスタ!$O5&lt;&gt;"",学校マスタ!$P5&lt;&gt;"",学校マスタ!$O5&lt;S$3+7,学校マスタ!$P5&gt;=S$3),"█",IF(AND(学校マスタ!$R5&lt;&gt;"",学校マスタ!$U5&lt;&gt;"",学校マスタ!$R5&lt;S$3+7,学校マスタ!$U5&gt;=S$3),"▒","")))))</f>
        <v/>
      </c>
      <c r="T7" s="26">
        <f>IF(学校マスタ!$A5="","",IF(AND(学校マスタ!$U5&lt;&gt;"",学校マスタ!$U5&gt;=T$3,学校マスタ!$U5&lt;T$3+7),"◎",IF(OR(AND(学校マスタ!$H5&lt;&gt;"",学校マスタ!$H5&gt;=T$3,学校マスタ!$H5&lt;T$3+7),AND(学校マスタ!$J5&lt;&gt;"",学校マスタ!$J5&gt;=T$3,学校マスタ!$J5&lt;T$3+7),AND(学校マスタ!$L5&lt;&gt;"",学校マスタ!$L5&gt;=T$3,学校マスタ!$L5&lt;T$3+7)),"◆",IF(AND(学校マスタ!$O5&lt;&gt;"",学校マスタ!$P5&lt;&gt;"",学校マスタ!$O5&lt;T$3+7,学校マスタ!$P5&gt;=T$3),"█",IF(AND(学校マスタ!$R5&lt;&gt;"",学校マスタ!$U5&lt;&gt;"",学校マスタ!$R5&lt;T$3+7,学校マスタ!$U5&gt;=T$3),"▒","")))))</f>
        <v/>
      </c>
      <c r="U7" s="26">
        <f>IF(学校マスタ!$A5="","",IF(AND(学校マスタ!$U5&lt;&gt;"",学校マスタ!$U5&gt;=U$3,学校マスタ!$U5&lt;U$3+7),"◎",IF(OR(AND(学校マスタ!$H5&lt;&gt;"",学校マスタ!$H5&gt;=U$3,学校マスタ!$H5&lt;U$3+7),AND(学校マスタ!$J5&lt;&gt;"",学校マスタ!$J5&gt;=U$3,学校マスタ!$J5&lt;U$3+7),AND(学校マスタ!$L5&lt;&gt;"",学校マスタ!$L5&gt;=U$3,学校マスタ!$L5&lt;U$3+7)),"◆",IF(AND(学校マスタ!$O5&lt;&gt;"",学校マスタ!$P5&lt;&gt;"",学校マスタ!$O5&lt;U$3+7,学校マスタ!$P5&gt;=U$3),"█",IF(AND(学校マスタ!$R5&lt;&gt;"",学校マスタ!$U5&lt;&gt;"",学校マスタ!$R5&lt;U$3+7,学校マスタ!$U5&gt;=U$3),"▒","")))))</f>
        <v/>
      </c>
      <c r="V7" s="26">
        <f>IF(学校マスタ!$A5="","",IF(AND(学校マスタ!$U5&lt;&gt;"",学校マスタ!$U5&gt;=V$3,学校マスタ!$U5&lt;V$3+7),"◎",IF(OR(AND(学校マスタ!$H5&lt;&gt;"",学校マスタ!$H5&gt;=V$3,学校マスタ!$H5&lt;V$3+7),AND(学校マスタ!$J5&lt;&gt;"",学校マスタ!$J5&gt;=V$3,学校マスタ!$J5&lt;V$3+7),AND(学校マスタ!$L5&lt;&gt;"",学校マスタ!$L5&gt;=V$3,学校マスタ!$L5&lt;V$3+7)),"◆",IF(AND(学校マスタ!$O5&lt;&gt;"",学校マスタ!$P5&lt;&gt;"",学校マスタ!$O5&lt;V$3+7,学校マスタ!$P5&gt;=V$3),"█",IF(AND(学校マスタ!$R5&lt;&gt;"",学校マスタ!$U5&lt;&gt;"",学校マスタ!$R5&lt;V$3+7,学校マスタ!$U5&gt;=V$3),"▒","")))))</f>
        <v/>
      </c>
      <c r="W7" s="26">
        <f>IF(学校マスタ!$A5="","",IF(AND(学校マスタ!$U5&lt;&gt;"",学校マスタ!$U5&gt;=W$3,学校マスタ!$U5&lt;W$3+7),"◎",IF(OR(AND(学校マスタ!$H5&lt;&gt;"",学校マスタ!$H5&gt;=W$3,学校マスタ!$H5&lt;W$3+7),AND(学校マスタ!$J5&lt;&gt;"",学校マスタ!$J5&gt;=W$3,学校マスタ!$J5&lt;W$3+7),AND(学校マスタ!$L5&lt;&gt;"",学校マスタ!$L5&gt;=W$3,学校マスタ!$L5&lt;W$3+7)),"◆",IF(AND(学校マスタ!$O5&lt;&gt;"",学校マスタ!$P5&lt;&gt;"",学校マスタ!$O5&lt;W$3+7,学校マスタ!$P5&gt;=W$3),"█",IF(AND(学校マスタ!$R5&lt;&gt;"",学校マスタ!$U5&lt;&gt;"",学校マスタ!$R5&lt;W$3+7,学校マスタ!$U5&gt;=W$3),"▒","")))))</f>
        <v/>
      </c>
      <c r="X7" s="26">
        <f>IF(学校マスタ!$A5="","",IF(AND(学校マスタ!$U5&lt;&gt;"",学校マスタ!$U5&gt;=X$3,学校マスタ!$U5&lt;X$3+7),"◎",IF(OR(AND(学校マスタ!$H5&lt;&gt;"",学校マスタ!$H5&gt;=X$3,学校マスタ!$H5&lt;X$3+7),AND(学校マスタ!$J5&lt;&gt;"",学校マスタ!$J5&gt;=X$3,学校マスタ!$J5&lt;X$3+7),AND(学校マスタ!$L5&lt;&gt;"",学校マスタ!$L5&gt;=X$3,学校マスタ!$L5&lt;X$3+7)),"◆",IF(AND(学校マスタ!$O5&lt;&gt;"",学校マスタ!$P5&lt;&gt;"",学校マスタ!$O5&lt;X$3+7,学校マスタ!$P5&gt;=X$3),"█",IF(AND(学校マスタ!$R5&lt;&gt;"",学校マスタ!$U5&lt;&gt;"",学校マスタ!$R5&lt;X$3+7,学校マスタ!$U5&gt;=X$3),"▒","")))))</f>
        <v/>
      </c>
      <c r="Y7" s="26">
        <f>IF(学校マスタ!$A5="","",IF(AND(学校マスタ!$U5&lt;&gt;"",学校マスタ!$U5&gt;=Y$3,学校マスタ!$U5&lt;Y$3+7),"◎",IF(OR(AND(学校マスタ!$H5&lt;&gt;"",学校マスタ!$H5&gt;=Y$3,学校マスタ!$H5&lt;Y$3+7),AND(学校マスタ!$J5&lt;&gt;"",学校マスタ!$J5&gt;=Y$3,学校マスタ!$J5&lt;Y$3+7),AND(学校マスタ!$L5&lt;&gt;"",学校マスタ!$L5&gt;=Y$3,学校マスタ!$L5&lt;Y$3+7)),"◆",IF(AND(学校マスタ!$O5&lt;&gt;"",学校マスタ!$P5&lt;&gt;"",学校マスタ!$O5&lt;Y$3+7,学校マスタ!$P5&gt;=Y$3),"█",IF(AND(学校マスタ!$R5&lt;&gt;"",学校マスタ!$U5&lt;&gt;"",学校マスタ!$R5&lt;Y$3+7,学校マスタ!$U5&gt;=Y$3),"▒","")))))</f>
        <v/>
      </c>
      <c r="Z7" s="26">
        <f>IF(学校マスタ!$A5="","",IF(AND(学校マスタ!$U5&lt;&gt;"",学校マスタ!$U5&gt;=Z$3,学校マスタ!$U5&lt;Z$3+7),"◎",IF(OR(AND(学校マスタ!$H5&lt;&gt;"",学校マスタ!$H5&gt;=Z$3,学校マスタ!$H5&lt;Z$3+7),AND(学校マスタ!$J5&lt;&gt;"",学校マスタ!$J5&gt;=Z$3,学校マスタ!$J5&lt;Z$3+7),AND(学校マスタ!$L5&lt;&gt;"",学校マスタ!$L5&gt;=Z$3,学校マスタ!$L5&lt;Z$3+7)),"◆",IF(AND(学校マスタ!$O5&lt;&gt;"",学校マスタ!$P5&lt;&gt;"",学校マスタ!$O5&lt;Z$3+7,学校マスタ!$P5&gt;=Z$3),"█",IF(AND(学校マスタ!$R5&lt;&gt;"",学校マスタ!$U5&lt;&gt;"",学校マスタ!$R5&lt;Z$3+7,学校マスタ!$U5&gt;=Z$3),"▒","")))))</f>
        <v/>
      </c>
      <c r="AA7" s="26">
        <f>IF(学校マスタ!$A5="","",IF(AND(学校マスタ!$U5&lt;&gt;"",学校マスタ!$U5&gt;=AA$3,学校マスタ!$U5&lt;AA$3+7),"◎",IF(OR(AND(学校マスタ!$H5&lt;&gt;"",学校マスタ!$H5&gt;=AA$3,学校マスタ!$H5&lt;AA$3+7),AND(学校マスタ!$J5&lt;&gt;"",学校マスタ!$J5&gt;=AA$3,学校マスタ!$J5&lt;AA$3+7),AND(学校マスタ!$L5&lt;&gt;"",学校マスタ!$L5&gt;=AA$3,学校マスタ!$L5&lt;AA$3+7)),"◆",IF(AND(学校マスタ!$O5&lt;&gt;"",学校マスタ!$P5&lt;&gt;"",学校マスタ!$O5&lt;AA$3+7,学校マスタ!$P5&gt;=AA$3),"█",IF(AND(学校マスタ!$R5&lt;&gt;"",学校マスタ!$U5&lt;&gt;"",学校マスタ!$R5&lt;AA$3+7,学校マスタ!$U5&gt;=AA$3),"▒","")))))</f>
        <v/>
      </c>
      <c r="AB7" s="26">
        <f>IF(学校マスタ!$A5="","",IF(AND(学校マスタ!$U5&lt;&gt;"",学校マスタ!$U5&gt;=AB$3,学校マスタ!$U5&lt;AB$3+7),"◎",IF(OR(AND(学校マスタ!$H5&lt;&gt;"",学校マスタ!$H5&gt;=AB$3,学校マスタ!$H5&lt;AB$3+7),AND(学校マスタ!$J5&lt;&gt;"",学校マスタ!$J5&gt;=AB$3,学校マスタ!$J5&lt;AB$3+7),AND(学校マスタ!$L5&lt;&gt;"",学校マスタ!$L5&gt;=AB$3,学校マスタ!$L5&lt;AB$3+7)),"◆",IF(AND(学校マスタ!$O5&lt;&gt;"",学校マスタ!$P5&lt;&gt;"",学校マスタ!$O5&lt;AB$3+7,学校マスタ!$P5&gt;=AB$3),"█",IF(AND(学校マスタ!$R5&lt;&gt;"",学校マスタ!$U5&lt;&gt;"",学校マスタ!$R5&lt;AB$3+7,学校マスタ!$U5&gt;=AB$3),"▒","")))))</f>
        <v/>
      </c>
    </row>
    <row r="8">
      <c r="A8" s="19">
        <f>IF(学校マスタ!$A6="","",学校マスタ!$A6)</f>
        <v/>
      </c>
      <c r="B8" s="19">
        <f>IF(学校マスタ!$A6="","",学校マスタ!$C6)</f>
        <v/>
      </c>
      <c r="C8" s="19">
        <f>IF(学校マスタ!$A6="","",学校マスタ!$X6)</f>
        <v/>
      </c>
      <c r="D8" s="25">
        <f>IF(学校マスタ!$A6="","",学校マスタ!$R6)</f>
        <v/>
      </c>
      <c r="E8" s="26">
        <f>IF(学校マスタ!$A6="","",IF(AND(学校マスタ!$U6&lt;&gt;"",学校マスタ!$U6&gt;=E$3,学校マスタ!$U6&lt;E$3+7),"◎",IF(OR(AND(学校マスタ!$H6&lt;&gt;"",学校マスタ!$H6&gt;=E$3,学校マスタ!$H6&lt;E$3+7),AND(学校マスタ!$J6&lt;&gt;"",学校マスタ!$J6&gt;=E$3,学校マスタ!$J6&lt;E$3+7),AND(学校マスタ!$L6&lt;&gt;"",学校マスタ!$L6&gt;=E$3,学校マスタ!$L6&lt;E$3+7)),"◆",IF(AND(学校マスタ!$O6&lt;&gt;"",学校マスタ!$P6&lt;&gt;"",学校マスタ!$O6&lt;E$3+7,学校マスタ!$P6&gt;=E$3),"█",IF(AND(学校マスタ!$R6&lt;&gt;"",学校マスタ!$U6&lt;&gt;"",学校マスタ!$R6&lt;E$3+7,学校マスタ!$U6&gt;=E$3),"▒","")))))</f>
        <v/>
      </c>
      <c r="F8" s="26">
        <f>IF(学校マスタ!$A6="","",IF(AND(学校マスタ!$U6&lt;&gt;"",学校マスタ!$U6&gt;=F$3,学校マスタ!$U6&lt;F$3+7),"◎",IF(OR(AND(学校マスタ!$H6&lt;&gt;"",学校マスタ!$H6&gt;=F$3,学校マスタ!$H6&lt;F$3+7),AND(学校マスタ!$J6&lt;&gt;"",学校マスタ!$J6&gt;=F$3,学校マスタ!$J6&lt;F$3+7),AND(学校マスタ!$L6&lt;&gt;"",学校マスタ!$L6&gt;=F$3,学校マスタ!$L6&lt;F$3+7)),"◆",IF(AND(学校マスタ!$O6&lt;&gt;"",学校マスタ!$P6&lt;&gt;"",学校マスタ!$O6&lt;F$3+7,学校マスタ!$P6&gt;=F$3),"█",IF(AND(学校マスタ!$R6&lt;&gt;"",学校マスタ!$U6&lt;&gt;"",学校マスタ!$R6&lt;F$3+7,学校マスタ!$U6&gt;=F$3),"▒","")))))</f>
        <v/>
      </c>
      <c r="G8" s="26">
        <f>IF(学校マスタ!$A6="","",IF(AND(学校マスタ!$U6&lt;&gt;"",学校マスタ!$U6&gt;=G$3,学校マスタ!$U6&lt;G$3+7),"◎",IF(OR(AND(学校マスタ!$H6&lt;&gt;"",学校マスタ!$H6&gt;=G$3,学校マスタ!$H6&lt;G$3+7),AND(学校マスタ!$J6&lt;&gt;"",学校マスタ!$J6&gt;=G$3,学校マスタ!$J6&lt;G$3+7),AND(学校マスタ!$L6&lt;&gt;"",学校マスタ!$L6&gt;=G$3,学校マスタ!$L6&lt;G$3+7)),"◆",IF(AND(学校マスタ!$O6&lt;&gt;"",学校マスタ!$P6&lt;&gt;"",学校マスタ!$O6&lt;G$3+7,学校マスタ!$P6&gt;=G$3),"█",IF(AND(学校マスタ!$R6&lt;&gt;"",学校マスタ!$U6&lt;&gt;"",学校マスタ!$R6&lt;G$3+7,学校マスタ!$U6&gt;=G$3),"▒","")))))</f>
        <v/>
      </c>
      <c r="H8" s="26">
        <f>IF(学校マスタ!$A6="","",IF(AND(学校マスタ!$U6&lt;&gt;"",学校マスタ!$U6&gt;=H$3,学校マスタ!$U6&lt;H$3+7),"◎",IF(OR(AND(学校マスタ!$H6&lt;&gt;"",学校マスタ!$H6&gt;=H$3,学校マスタ!$H6&lt;H$3+7),AND(学校マスタ!$J6&lt;&gt;"",学校マスタ!$J6&gt;=H$3,学校マスタ!$J6&lt;H$3+7),AND(学校マスタ!$L6&lt;&gt;"",学校マスタ!$L6&gt;=H$3,学校マスタ!$L6&lt;H$3+7)),"◆",IF(AND(学校マスタ!$O6&lt;&gt;"",学校マスタ!$P6&lt;&gt;"",学校マスタ!$O6&lt;H$3+7,学校マスタ!$P6&gt;=H$3),"█",IF(AND(学校マスタ!$R6&lt;&gt;"",学校マスタ!$U6&lt;&gt;"",学校マスタ!$R6&lt;H$3+7,学校マスタ!$U6&gt;=H$3),"▒","")))))</f>
        <v/>
      </c>
      <c r="I8" s="26">
        <f>IF(学校マスタ!$A6="","",IF(AND(学校マスタ!$U6&lt;&gt;"",学校マスタ!$U6&gt;=I$3,学校マスタ!$U6&lt;I$3+7),"◎",IF(OR(AND(学校マスタ!$H6&lt;&gt;"",学校マスタ!$H6&gt;=I$3,学校マスタ!$H6&lt;I$3+7),AND(学校マスタ!$J6&lt;&gt;"",学校マスタ!$J6&gt;=I$3,学校マスタ!$J6&lt;I$3+7),AND(学校マスタ!$L6&lt;&gt;"",学校マスタ!$L6&gt;=I$3,学校マスタ!$L6&lt;I$3+7)),"◆",IF(AND(学校マスタ!$O6&lt;&gt;"",学校マスタ!$P6&lt;&gt;"",学校マスタ!$O6&lt;I$3+7,学校マスタ!$P6&gt;=I$3),"█",IF(AND(学校マスタ!$R6&lt;&gt;"",学校マスタ!$U6&lt;&gt;"",学校マスタ!$R6&lt;I$3+7,学校マスタ!$U6&gt;=I$3),"▒","")))))</f>
        <v/>
      </c>
      <c r="J8" s="26">
        <f>IF(学校マスタ!$A6="","",IF(AND(学校マスタ!$U6&lt;&gt;"",学校マスタ!$U6&gt;=J$3,学校マスタ!$U6&lt;J$3+7),"◎",IF(OR(AND(学校マスタ!$H6&lt;&gt;"",学校マスタ!$H6&gt;=J$3,学校マスタ!$H6&lt;J$3+7),AND(学校マスタ!$J6&lt;&gt;"",学校マスタ!$J6&gt;=J$3,学校マスタ!$J6&lt;J$3+7),AND(学校マスタ!$L6&lt;&gt;"",学校マスタ!$L6&gt;=J$3,学校マスタ!$L6&lt;J$3+7)),"◆",IF(AND(学校マスタ!$O6&lt;&gt;"",学校マスタ!$P6&lt;&gt;"",学校マスタ!$O6&lt;J$3+7,学校マスタ!$P6&gt;=J$3),"█",IF(AND(学校マスタ!$R6&lt;&gt;"",学校マスタ!$U6&lt;&gt;"",学校マスタ!$R6&lt;J$3+7,学校マスタ!$U6&gt;=J$3),"▒","")))))</f>
        <v/>
      </c>
      <c r="K8" s="26">
        <f>IF(学校マスタ!$A6="","",IF(AND(学校マスタ!$U6&lt;&gt;"",学校マスタ!$U6&gt;=K$3,学校マスタ!$U6&lt;K$3+7),"◎",IF(OR(AND(学校マスタ!$H6&lt;&gt;"",学校マスタ!$H6&gt;=K$3,学校マスタ!$H6&lt;K$3+7),AND(学校マスタ!$J6&lt;&gt;"",学校マスタ!$J6&gt;=K$3,学校マスタ!$J6&lt;K$3+7),AND(学校マスタ!$L6&lt;&gt;"",学校マスタ!$L6&gt;=K$3,学校マスタ!$L6&lt;K$3+7)),"◆",IF(AND(学校マスタ!$O6&lt;&gt;"",学校マスタ!$P6&lt;&gt;"",学校マスタ!$O6&lt;K$3+7,学校マスタ!$P6&gt;=K$3),"█",IF(AND(学校マスタ!$R6&lt;&gt;"",学校マスタ!$U6&lt;&gt;"",学校マスタ!$R6&lt;K$3+7,学校マスタ!$U6&gt;=K$3),"▒","")))))</f>
        <v/>
      </c>
      <c r="L8" s="26">
        <f>IF(学校マスタ!$A6="","",IF(AND(学校マスタ!$U6&lt;&gt;"",学校マスタ!$U6&gt;=L$3,学校マスタ!$U6&lt;L$3+7),"◎",IF(OR(AND(学校マスタ!$H6&lt;&gt;"",学校マスタ!$H6&gt;=L$3,学校マスタ!$H6&lt;L$3+7),AND(学校マスタ!$J6&lt;&gt;"",学校マスタ!$J6&gt;=L$3,学校マスタ!$J6&lt;L$3+7),AND(学校マスタ!$L6&lt;&gt;"",学校マスタ!$L6&gt;=L$3,学校マスタ!$L6&lt;L$3+7)),"◆",IF(AND(学校マスタ!$O6&lt;&gt;"",学校マスタ!$P6&lt;&gt;"",学校マスタ!$O6&lt;L$3+7,学校マスタ!$P6&gt;=L$3),"█",IF(AND(学校マスタ!$R6&lt;&gt;"",学校マスタ!$U6&lt;&gt;"",学校マスタ!$R6&lt;L$3+7,学校マスタ!$U6&gt;=L$3),"▒","")))))</f>
        <v/>
      </c>
      <c r="M8" s="26">
        <f>IF(学校マスタ!$A6="","",IF(AND(学校マスタ!$U6&lt;&gt;"",学校マスタ!$U6&gt;=M$3,学校マスタ!$U6&lt;M$3+7),"◎",IF(OR(AND(学校マスタ!$H6&lt;&gt;"",学校マスタ!$H6&gt;=M$3,学校マスタ!$H6&lt;M$3+7),AND(学校マスタ!$J6&lt;&gt;"",学校マスタ!$J6&gt;=M$3,学校マスタ!$J6&lt;M$3+7),AND(学校マスタ!$L6&lt;&gt;"",学校マスタ!$L6&gt;=M$3,学校マスタ!$L6&lt;M$3+7)),"◆",IF(AND(学校マスタ!$O6&lt;&gt;"",学校マスタ!$P6&lt;&gt;"",学校マスタ!$O6&lt;M$3+7,学校マスタ!$P6&gt;=M$3),"█",IF(AND(学校マスタ!$R6&lt;&gt;"",学校マスタ!$U6&lt;&gt;"",学校マスタ!$R6&lt;M$3+7,学校マスタ!$U6&gt;=M$3),"▒","")))))</f>
        <v/>
      </c>
      <c r="N8" s="26">
        <f>IF(学校マスタ!$A6="","",IF(AND(学校マスタ!$U6&lt;&gt;"",学校マスタ!$U6&gt;=N$3,学校マスタ!$U6&lt;N$3+7),"◎",IF(OR(AND(学校マスタ!$H6&lt;&gt;"",学校マスタ!$H6&gt;=N$3,学校マスタ!$H6&lt;N$3+7),AND(学校マスタ!$J6&lt;&gt;"",学校マスタ!$J6&gt;=N$3,学校マスタ!$J6&lt;N$3+7),AND(学校マスタ!$L6&lt;&gt;"",学校マスタ!$L6&gt;=N$3,学校マスタ!$L6&lt;N$3+7)),"◆",IF(AND(学校マスタ!$O6&lt;&gt;"",学校マスタ!$P6&lt;&gt;"",学校マスタ!$O6&lt;N$3+7,学校マスタ!$P6&gt;=N$3),"█",IF(AND(学校マスタ!$R6&lt;&gt;"",学校マスタ!$U6&lt;&gt;"",学校マスタ!$R6&lt;N$3+7,学校マスタ!$U6&gt;=N$3),"▒","")))))</f>
        <v/>
      </c>
      <c r="O8" s="26">
        <f>IF(学校マスタ!$A6="","",IF(AND(学校マスタ!$U6&lt;&gt;"",学校マスタ!$U6&gt;=O$3,学校マスタ!$U6&lt;O$3+7),"◎",IF(OR(AND(学校マスタ!$H6&lt;&gt;"",学校マスタ!$H6&gt;=O$3,学校マスタ!$H6&lt;O$3+7),AND(学校マスタ!$J6&lt;&gt;"",学校マスタ!$J6&gt;=O$3,学校マスタ!$J6&lt;O$3+7),AND(学校マスタ!$L6&lt;&gt;"",学校マスタ!$L6&gt;=O$3,学校マスタ!$L6&lt;O$3+7)),"◆",IF(AND(学校マスタ!$O6&lt;&gt;"",学校マスタ!$P6&lt;&gt;"",学校マスタ!$O6&lt;O$3+7,学校マスタ!$P6&gt;=O$3),"█",IF(AND(学校マスタ!$R6&lt;&gt;"",学校マスタ!$U6&lt;&gt;"",学校マスタ!$R6&lt;O$3+7,学校マスタ!$U6&gt;=O$3),"▒","")))))</f>
        <v/>
      </c>
      <c r="P8" s="26">
        <f>IF(学校マスタ!$A6="","",IF(AND(学校マスタ!$U6&lt;&gt;"",学校マスタ!$U6&gt;=P$3,学校マスタ!$U6&lt;P$3+7),"◎",IF(OR(AND(学校マスタ!$H6&lt;&gt;"",学校マスタ!$H6&gt;=P$3,学校マスタ!$H6&lt;P$3+7),AND(学校マスタ!$J6&lt;&gt;"",学校マスタ!$J6&gt;=P$3,学校マスタ!$J6&lt;P$3+7),AND(学校マスタ!$L6&lt;&gt;"",学校マスタ!$L6&gt;=P$3,学校マスタ!$L6&lt;P$3+7)),"◆",IF(AND(学校マスタ!$O6&lt;&gt;"",学校マスタ!$P6&lt;&gt;"",学校マスタ!$O6&lt;P$3+7,学校マスタ!$P6&gt;=P$3),"█",IF(AND(学校マスタ!$R6&lt;&gt;"",学校マスタ!$U6&lt;&gt;"",学校マスタ!$R6&lt;P$3+7,学校マスタ!$U6&gt;=P$3),"▒","")))))</f>
        <v/>
      </c>
      <c r="Q8" s="26">
        <f>IF(学校マスタ!$A6="","",IF(AND(学校マスタ!$U6&lt;&gt;"",学校マスタ!$U6&gt;=Q$3,学校マスタ!$U6&lt;Q$3+7),"◎",IF(OR(AND(学校マスタ!$H6&lt;&gt;"",学校マスタ!$H6&gt;=Q$3,学校マスタ!$H6&lt;Q$3+7),AND(学校マスタ!$J6&lt;&gt;"",学校マスタ!$J6&gt;=Q$3,学校マスタ!$J6&lt;Q$3+7),AND(学校マスタ!$L6&lt;&gt;"",学校マスタ!$L6&gt;=Q$3,学校マスタ!$L6&lt;Q$3+7)),"◆",IF(AND(学校マスタ!$O6&lt;&gt;"",学校マスタ!$P6&lt;&gt;"",学校マスタ!$O6&lt;Q$3+7,学校マスタ!$P6&gt;=Q$3),"█",IF(AND(学校マスタ!$R6&lt;&gt;"",学校マスタ!$U6&lt;&gt;"",学校マスタ!$R6&lt;Q$3+7,学校マスタ!$U6&gt;=Q$3),"▒","")))))</f>
        <v/>
      </c>
      <c r="R8" s="26">
        <f>IF(学校マスタ!$A6="","",IF(AND(学校マスタ!$U6&lt;&gt;"",学校マスタ!$U6&gt;=R$3,学校マスタ!$U6&lt;R$3+7),"◎",IF(OR(AND(学校マスタ!$H6&lt;&gt;"",学校マスタ!$H6&gt;=R$3,学校マスタ!$H6&lt;R$3+7),AND(学校マスタ!$J6&lt;&gt;"",学校マスタ!$J6&gt;=R$3,学校マスタ!$J6&lt;R$3+7),AND(学校マスタ!$L6&lt;&gt;"",学校マスタ!$L6&gt;=R$3,学校マスタ!$L6&lt;R$3+7)),"◆",IF(AND(学校マスタ!$O6&lt;&gt;"",学校マスタ!$P6&lt;&gt;"",学校マスタ!$O6&lt;R$3+7,学校マスタ!$P6&gt;=R$3),"█",IF(AND(学校マスタ!$R6&lt;&gt;"",学校マスタ!$U6&lt;&gt;"",学校マスタ!$R6&lt;R$3+7,学校マスタ!$U6&gt;=R$3),"▒","")))))</f>
        <v/>
      </c>
      <c r="S8" s="26">
        <f>IF(学校マスタ!$A6="","",IF(AND(学校マスタ!$U6&lt;&gt;"",学校マスタ!$U6&gt;=S$3,学校マスタ!$U6&lt;S$3+7),"◎",IF(OR(AND(学校マスタ!$H6&lt;&gt;"",学校マスタ!$H6&gt;=S$3,学校マスタ!$H6&lt;S$3+7),AND(学校マスタ!$J6&lt;&gt;"",学校マスタ!$J6&gt;=S$3,学校マスタ!$J6&lt;S$3+7),AND(学校マスタ!$L6&lt;&gt;"",学校マスタ!$L6&gt;=S$3,学校マスタ!$L6&lt;S$3+7)),"◆",IF(AND(学校マスタ!$O6&lt;&gt;"",学校マスタ!$P6&lt;&gt;"",学校マスタ!$O6&lt;S$3+7,学校マスタ!$P6&gt;=S$3),"█",IF(AND(学校マスタ!$R6&lt;&gt;"",学校マスタ!$U6&lt;&gt;"",学校マスタ!$R6&lt;S$3+7,学校マスタ!$U6&gt;=S$3),"▒","")))))</f>
        <v/>
      </c>
      <c r="T8" s="26">
        <f>IF(学校マスタ!$A6="","",IF(AND(学校マスタ!$U6&lt;&gt;"",学校マスタ!$U6&gt;=T$3,学校マスタ!$U6&lt;T$3+7),"◎",IF(OR(AND(学校マスタ!$H6&lt;&gt;"",学校マスタ!$H6&gt;=T$3,学校マスタ!$H6&lt;T$3+7),AND(学校マスタ!$J6&lt;&gt;"",学校マスタ!$J6&gt;=T$3,学校マスタ!$J6&lt;T$3+7),AND(学校マスタ!$L6&lt;&gt;"",学校マスタ!$L6&gt;=T$3,学校マスタ!$L6&lt;T$3+7)),"◆",IF(AND(学校マスタ!$O6&lt;&gt;"",学校マスタ!$P6&lt;&gt;"",学校マスタ!$O6&lt;T$3+7,学校マスタ!$P6&gt;=T$3),"█",IF(AND(学校マスタ!$R6&lt;&gt;"",学校マスタ!$U6&lt;&gt;"",学校マスタ!$R6&lt;T$3+7,学校マスタ!$U6&gt;=T$3),"▒","")))))</f>
        <v/>
      </c>
      <c r="U8" s="26">
        <f>IF(学校マスタ!$A6="","",IF(AND(学校マスタ!$U6&lt;&gt;"",学校マスタ!$U6&gt;=U$3,学校マスタ!$U6&lt;U$3+7),"◎",IF(OR(AND(学校マスタ!$H6&lt;&gt;"",学校マスタ!$H6&gt;=U$3,学校マスタ!$H6&lt;U$3+7),AND(学校マスタ!$J6&lt;&gt;"",学校マスタ!$J6&gt;=U$3,学校マスタ!$J6&lt;U$3+7),AND(学校マスタ!$L6&lt;&gt;"",学校マスタ!$L6&gt;=U$3,学校マスタ!$L6&lt;U$3+7)),"◆",IF(AND(学校マスタ!$O6&lt;&gt;"",学校マスタ!$P6&lt;&gt;"",学校マスタ!$O6&lt;U$3+7,学校マスタ!$P6&gt;=U$3),"█",IF(AND(学校マスタ!$R6&lt;&gt;"",学校マスタ!$U6&lt;&gt;"",学校マスタ!$R6&lt;U$3+7,学校マスタ!$U6&gt;=U$3),"▒","")))))</f>
        <v/>
      </c>
      <c r="V8" s="26">
        <f>IF(学校マスタ!$A6="","",IF(AND(学校マスタ!$U6&lt;&gt;"",学校マスタ!$U6&gt;=V$3,学校マスタ!$U6&lt;V$3+7),"◎",IF(OR(AND(学校マスタ!$H6&lt;&gt;"",学校マスタ!$H6&gt;=V$3,学校マスタ!$H6&lt;V$3+7),AND(学校マスタ!$J6&lt;&gt;"",学校マスタ!$J6&gt;=V$3,学校マスタ!$J6&lt;V$3+7),AND(学校マスタ!$L6&lt;&gt;"",学校マスタ!$L6&gt;=V$3,学校マスタ!$L6&lt;V$3+7)),"◆",IF(AND(学校マスタ!$O6&lt;&gt;"",学校マスタ!$P6&lt;&gt;"",学校マスタ!$O6&lt;V$3+7,学校マスタ!$P6&gt;=V$3),"█",IF(AND(学校マスタ!$R6&lt;&gt;"",学校マスタ!$U6&lt;&gt;"",学校マスタ!$R6&lt;V$3+7,学校マスタ!$U6&gt;=V$3),"▒","")))))</f>
        <v/>
      </c>
      <c r="W8" s="26">
        <f>IF(学校マスタ!$A6="","",IF(AND(学校マスタ!$U6&lt;&gt;"",学校マスタ!$U6&gt;=W$3,学校マスタ!$U6&lt;W$3+7),"◎",IF(OR(AND(学校マスタ!$H6&lt;&gt;"",学校マスタ!$H6&gt;=W$3,学校マスタ!$H6&lt;W$3+7),AND(学校マスタ!$J6&lt;&gt;"",学校マスタ!$J6&gt;=W$3,学校マスタ!$J6&lt;W$3+7),AND(学校マスタ!$L6&lt;&gt;"",学校マスタ!$L6&gt;=W$3,学校マスタ!$L6&lt;W$3+7)),"◆",IF(AND(学校マスタ!$O6&lt;&gt;"",学校マスタ!$P6&lt;&gt;"",学校マスタ!$O6&lt;W$3+7,学校マスタ!$P6&gt;=W$3),"█",IF(AND(学校マスタ!$R6&lt;&gt;"",学校マスタ!$U6&lt;&gt;"",学校マスタ!$R6&lt;W$3+7,学校マスタ!$U6&gt;=W$3),"▒","")))))</f>
        <v/>
      </c>
      <c r="X8" s="26">
        <f>IF(学校マスタ!$A6="","",IF(AND(学校マスタ!$U6&lt;&gt;"",学校マスタ!$U6&gt;=X$3,学校マスタ!$U6&lt;X$3+7),"◎",IF(OR(AND(学校マスタ!$H6&lt;&gt;"",学校マスタ!$H6&gt;=X$3,学校マスタ!$H6&lt;X$3+7),AND(学校マスタ!$J6&lt;&gt;"",学校マスタ!$J6&gt;=X$3,学校マスタ!$J6&lt;X$3+7),AND(学校マスタ!$L6&lt;&gt;"",学校マスタ!$L6&gt;=X$3,学校マスタ!$L6&lt;X$3+7)),"◆",IF(AND(学校マスタ!$O6&lt;&gt;"",学校マスタ!$P6&lt;&gt;"",学校マスタ!$O6&lt;X$3+7,学校マスタ!$P6&gt;=X$3),"█",IF(AND(学校マスタ!$R6&lt;&gt;"",学校マスタ!$U6&lt;&gt;"",学校マスタ!$R6&lt;X$3+7,学校マスタ!$U6&gt;=X$3),"▒","")))))</f>
        <v/>
      </c>
      <c r="Y8" s="26">
        <f>IF(学校マスタ!$A6="","",IF(AND(学校マスタ!$U6&lt;&gt;"",学校マスタ!$U6&gt;=Y$3,学校マスタ!$U6&lt;Y$3+7),"◎",IF(OR(AND(学校マスタ!$H6&lt;&gt;"",学校マスタ!$H6&gt;=Y$3,学校マスタ!$H6&lt;Y$3+7),AND(学校マスタ!$J6&lt;&gt;"",学校マスタ!$J6&gt;=Y$3,学校マスタ!$J6&lt;Y$3+7),AND(学校マスタ!$L6&lt;&gt;"",学校マスタ!$L6&gt;=Y$3,学校マスタ!$L6&lt;Y$3+7)),"◆",IF(AND(学校マスタ!$O6&lt;&gt;"",学校マスタ!$P6&lt;&gt;"",学校マスタ!$O6&lt;Y$3+7,学校マスタ!$P6&gt;=Y$3),"█",IF(AND(学校マスタ!$R6&lt;&gt;"",学校マスタ!$U6&lt;&gt;"",学校マスタ!$R6&lt;Y$3+7,学校マスタ!$U6&gt;=Y$3),"▒","")))))</f>
        <v/>
      </c>
      <c r="Z8" s="26">
        <f>IF(学校マスタ!$A6="","",IF(AND(学校マスタ!$U6&lt;&gt;"",学校マスタ!$U6&gt;=Z$3,学校マスタ!$U6&lt;Z$3+7),"◎",IF(OR(AND(学校マスタ!$H6&lt;&gt;"",学校マスタ!$H6&gt;=Z$3,学校マスタ!$H6&lt;Z$3+7),AND(学校マスタ!$J6&lt;&gt;"",学校マスタ!$J6&gt;=Z$3,学校マスタ!$J6&lt;Z$3+7),AND(学校マスタ!$L6&lt;&gt;"",学校マスタ!$L6&gt;=Z$3,学校マスタ!$L6&lt;Z$3+7)),"◆",IF(AND(学校マスタ!$O6&lt;&gt;"",学校マスタ!$P6&lt;&gt;"",学校マスタ!$O6&lt;Z$3+7,学校マスタ!$P6&gt;=Z$3),"█",IF(AND(学校マスタ!$R6&lt;&gt;"",学校マスタ!$U6&lt;&gt;"",学校マスタ!$R6&lt;Z$3+7,学校マスタ!$U6&gt;=Z$3),"▒","")))))</f>
        <v/>
      </c>
      <c r="AA8" s="26">
        <f>IF(学校マスタ!$A6="","",IF(AND(学校マスタ!$U6&lt;&gt;"",学校マスタ!$U6&gt;=AA$3,学校マスタ!$U6&lt;AA$3+7),"◎",IF(OR(AND(学校マスタ!$H6&lt;&gt;"",学校マスタ!$H6&gt;=AA$3,学校マスタ!$H6&lt;AA$3+7),AND(学校マスタ!$J6&lt;&gt;"",学校マスタ!$J6&gt;=AA$3,学校マスタ!$J6&lt;AA$3+7),AND(学校マスタ!$L6&lt;&gt;"",学校マスタ!$L6&gt;=AA$3,学校マスタ!$L6&lt;AA$3+7)),"◆",IF(AND(学校マスタ!$O6&lt;&gt;"",学校マスタ!$P6&lt;&gt;"",学校マスタ!$O6&lt;AA$3+7,学校マスタ!$P6&gt;=AA$3),"█",IF(AND(学校マスタ!$R6&lt;&gt;"",学校マスタ!$U6&lt;&gt;"",学校マスタ!$R6&lt;AA$3+7,学校マスタ!$U6&gt;=AA$3),"▒","")))))</f>
        <v/>
      </c>
      <c r="AB8" s="26">
        <f>IF(学校マスタ!$A6="","",IF(AND(学校マスタ!$U6&lt;&gt;"",学校マスタ!$U6&gt;=AB$3,学校マスタ!$U6&lt;AB$3+7),"◎",IF(OR(AND(学校マスタ!$H6&lt;&gt;"",学校マスタ!$H6&gt;=AB$3,学校マスタ!$H6&lt;AB$3+7),AND(学校マスタ!$J6&lt;&gt;"",学校マスタ!$J6&gt;=AB$3,学校マスタ!$J6&lt;AB$3+7),AND(学校マスタ!$L6&lt;&gt;"",学校マスタ!$L6&gt;=AB$3,学校マスタ!$L6&lt;AB$3+7)),"◆",IF(AND(学校マスタ!$O6&lt;&gt;"",学校マスタ!$P6&lt;&gt;"",学校マスタ!$O6&lt;AB$3+7,学校マスタ!$P6&gt;=AB$3),"█",IF(AND(学校マスタ!$R6&lt;&gt;"",学校マスタ!$U6&lt;&gt;"",学校マスタ!$R6&lt;AB$3+7,学校マスタ!$U6&gt;=AB$3),"▒","")))))</f>
        <v/>
      </c>
    </row>
    <row r="9">
      <c r="A9" s="19">
        <f>IF(学校マスタ!$A7="","",学校マスタ!$A7)</f>
        <v/>
      </c>
      <c r="B9" s="19">
        <f>IF(学校マスタ!$A7="","",学校マスタ!$C7)</f>
        <v/>
      </c>
      <c r="C9" s="19">
        <f>IF(学校マスタ!$A7="","",学校マスタ!$X7)</f>
        <v/>
      </c>
      <c r="D9" s="25">
        <f>IF(学校マスタ!$A7="","",学校マスタ!$R7)</f>
        <v/>
      </c>
      <c r="E9" s="26">
        <f>IF(学校マスタ!$A7="","",IF(AND(学校マスタ!$U7&lt;&gt;"",学校マスタ!$U7&gt;=E$3,学校マスタ!$U7&lt;E$3+7),"◎",IF(OR(AND(学校マスタ!$H7&lt;&gt;"",学校マスタ!$H7&gt;=E$3,学校マスタ!$H7&lt;E$3+7),AND(学校マスタ!$J7&lt;&gt;"",学校マスタ!$J7&gt;=E$3,学校マスタ!$J7&lt;E$3+7),AND(学校マスタ!$L7&lt;&gt;"",学校マスタ!$L7&gt;=E$3,学校マスタ!$L7&lt;E$3+7)),"◆",IF(AND(学校マスタ!$O7&lt;&gt;"",学校マスタ!$P7&lt;&gt;"",学校マスタ!$O7&lt;E$3+7,学校マスタ!$P7&gt;=E$3),"█",IF(AND(学校マスタ!$R7&lt;&gt;"",学校マスタ!$U7&lt;&gt;"",学校マスタ!$R7&lt;E$3+7,学校マスタ!$U7&gt;=E$3),"▒","")))))</f>
        <v/>
      </c>
      <c r="F9" s="26">
        <f>IF(学校マスタ!$A7="","",IF(AND(学校マスタ!$U7&lt;&gt;"",学校マスタ!$U7&gt;=F$3,学校マスタ!$U7&lt;F$3+7),"◎",IF(OR(AND(学校マスタ!$H7&lt;&gt;"",学校マスタ!$H7&gt;=F$3,学校マスタ!$H7&lt;F$3+7),AND(学校マスタ!$J7&lt;&gt;"",学校マスタ!$J7&gt;=F$3,学校マスタ!$J7&lt;F$3+7),AND(学校マスタ!$L7&lt;&gt;"",学校マスタ!$L7&gt;=F$3,学校マスタ!$L7&lt;F$3+7)),"◆",IF(AND(学校マスタ!$O7&lt;&gt;"",学校マスタ!$P7&lt;&gt;"",学校マスタ!$O7&lt;F$3+7,学校マスタ!$P7&gt;=F$3),"█",IF(AND(学校マスタ!$R7&lt;&gt;"",学校マスタ!$U7&lt;&gt;"",学校マスタ!$R7&lt;F$3+7,学校マスタ!$U7&gt;=F$3),"▒","")))))</f>
        <v/>
      </c>
      <c r="G9" s="26">
        <f>IF(学校マスタ!$A7="","",IF(AND(学校マスタ!$U7&lt;&gt;"",学校マスタ!$U7&gt;=G$3,学校マスタ!$U7&lt;G$3+7),"◎",IF(OR(AND(学校マスタ!$H7&lt;&gt;"",学校マスタ!$H7&gt;=G$3,学校マスタ!$H7&lt;G$3+7),AND(学校マスタ!$J7&lt;&gt;"",学校マスタ!$J7&gt;=G$3,学校マスタ!$J7&lt;G$3+7),AND(学校マスタ!$L7&lt;&gt;"",学校マスタ!$L7&gt;=G$3,学校マスタ!$L7&lt;G$3+7)),"◆",IF(AND(学校マスタ!$O7&lt;&gt;"",学校マスタ!$P7&lt;&gt;"",学校マスタ!$O7&lt;G$3+7,学校マスタ!$P7&gt;=G$3),"█",IF(AND(学校マスタ!$R7&lt;&gt;"",学校マスタ!$U7&lt;&gt;"",学校マスタ!$R7&lt;G$3+7,学校マスタ!$U7&gt;=G$3),"▒","")))))</f>
        <v/>
      </c>
      <c r="H9" s="26">
        <f>IF(学校マスタ!$A7="","",IF(AND(学校マスタ!$U7&lt;&gt;"",学校マスタ!$U7&gt;=H$3,学校マスタ!$U7&lt;H$3+7),"◎",IF(OR(AND(学校マスタ!$H7&lt;&gt;"",学校マスタ!$H7&gt;=H$3,学校マスタ!$H7&lt;H$3+7),AND(学校マスタ!$J7&lt;&gt;"",学校マスタ!$J7&gt;=H$3,学校マスタ!$J7&lt;H$3+7),AND(学校マスタ!$L7&lt;&gt;"",学校マスタ!$L7&gt;=H$3,学校マスタ!$L7&lt;H$3+7)),"◆",IF(AND(学校マスタ!$O7&lt;&gt;"",学校マスタ!$P7&lt;&gt;"",学校マスタ!$O7&lt;H$3+7,学校マスタ!$P7&gt;=H$3),"█",IF(AND(学校マスタ!$R7&lt;&gt;"",学校マスタ!$U7&lt;&gt;"",学校マスタ!$R7&lt;H$3+7,学校マスタ!$U7&gt;=H$3),"▒","")))))</f>
        <v/>
      </c>
      <c r="I9" s="26">
        <f>IF(学校マスタ!$A7="","",IF(AND(学校マスタ!$U7&lt;&gt;"",学校マスタ!$U7&gt;=I$3,学校マスタ!$U7&lt;I$3+7),"◎",IF(OR(AND(学校マスタ!$H7&lt;&gt;"",学校マスタ!$H7&gt;=I$3,学校マスタ!$H7&lt;I$3+7),AND(学校マスタ!$J7&lt;&gt;"",学校マスタ!$J7&gt;=I$3,学校マスタ!$J7&lt;I$3+7),AND(学校マスタ!$L7&lt;&gt;"",学校マスタ!$L7&gt;=I$3,学校マスタ!$L7&lt;I$3+7)),"◆",IF(AND(学校マスタ!$O7&lt;&gt;"",学校マスタ!$P7&lt;&gt;"",学校マスタ!$O7&lt;I$3+7,学校マスタ!$P7&gt;=I$3),"█",IF(AND(学校マスタ!$R7&lt;&gt;"",学校マスタ!$U7&lt;&gt;"",学校マスタ!$R7&lt;I$3+7,学校マスタ!$U7&gt;=I$3),"▒","")))))</f>
        <v/>
      </c>
      <c r="J9" s="26">
        <f>IF(学校マスタ!$A7="","",IF(AND(学校マスタ!$U7&lt;&gt;"",学校マスタ!$U7&gt;=J$3,学校マスタ!$U7&lt;J$3+7),"◎",IF(OR(AND(学校マスタ!$H7&lt;&gt;"",学校マスタ!$H7&gt;=J$3,学校マスタ!$H7&lt;J$3+7),AND(学校マスタ!$J7&lt;&gt;"",学校マスタ!$J7&gt;=J$3,学校マスタ!$J7&lt;J$3+7),AND(学校マスタ!$L7&lt;&gt;"",学校マスタ!$L7&gt;=J$3,学校マスタ!$L7&lt;J$3+7)),"◆",IF(AND(学校マスタ!$O7&lt;&gt;"",学校マスタ!$P7&lt;&gt;"",学校マスタ!$O7&lt;J$3+7,学校マスタ!$P7&gt;=J$3),"█",IF(AND(学校マスタ!$R7&lt;&gt;"",学校マスタ!$U7&lt;&gt;"",学校マスタ!$R7&lt;J$3+7,学校マスタ!$U7&gt;=J$3),"▒","")))))</f>
        <v/>
      </c>
      <c r="K9" s="26">
        <f>IF(学校マスタ!$A7="","",IF(AND(学校マスタ!$U7&lt;&gt;"",学校マスタ!$U7&gt;=K$3,学校マスタ!$U7&lt;K$3+7),"◎",IF(OR(AND(学校マスタ!$H7&lt;&gt;"",学校マスタ!$H7&gt;=K$3,学校マスタ!$H7&lt;K$3+7),AND(学校マスタ!$J7&lt;&gt;"",学校マスタ!$J7&gt;=K$3,学校マスタ!$J7&lt;K$3+7),AND(学校マスタ!$L7&lt;&gt;"",学校マスタ!$L7&gt;=K$3,学校マスタ!$L7&lt;K$3+7)),"◆",IF(AND(学校マスタ!$O7&lt;&gt;"",学校マスタ!$P7&lt;&gt;"",学校マスタ!$O7&lt;K$3+7,学校マスタ!$P7&gt;=K$3),"█",IF(AND(学校マスタ!$R7&lt;&gt;"",学校マスタ!$U7&lt;&gt;"",学校マスタ!$R7&lt;K$3+7,学校マスタ!$U7&gt;=K$3),"▒","")))))</f>
        <v/>
      </c>
      <c r="L9" s="26">
        <f>IF(学校マスタ!$A7="","",IF(AND(学校マスタ!$U7&lt;&gt;"",学校マスタ!$U7&gt;=L$3,学校マスタ!$U7&lt;L$3+7),"◎",IF(OR(AND(学校マスタ!$H7&lt;&gt;"",学校マスタ!$H7&gt;=L$3,学校マスタ!$H7&lt;L$3+7),AND(学校マスタ!$J7&lt;&gt;"",学校マスタ!$J7&gt;=L$3,学校マスタ!$J7&lt;L$3+7),AND(学校マスタ!$L7&lt;&gt;"",学校マスタ!$L7&gt;=L$3,学校マスタ!$L7&lt;L$3+7)),"◆",IF(AND(学校マスタ!$O7&lt;&gt;"",学校マスタ!$P7&lt;&gt;"",学校マスタ!$O7&lt;L$3+7,学校マスタ!$P7&gt;=L$3),"█",IF(AND(学校マスタ!$R7&lt;&gt;"",学校マスタ!$U7&lt;&gt;"",学校マスタ!$R7&lt;L$3+7,学校マスタ!$U7&gt;=L$3),"▒","")))))</f>
        <v/>
      </c>
      <c r="M9" s="26">
        <f>IF(学校マスタ!$A7="","",IF(AND(学校マスタ!$U7&lt;&gt;"",学校マスタ!$U7&gt;=M$3,学校マスタ!$U7&lt;M$3+7),"◎",IF(OR(AND(学校マスタ!$H7&lt;&gt;"",学校マスタ!$H7&gt;=M$3,学校マスタ!$H7&lt;M$3+7),AND(学校マスタ!$J7&lt;&gt;"",学校マスタ!$J7&gt;=M$3,学校マスタ!$J7&lt;M$3+7),AND(学校マスタ!$L7&lt;&gt;"",学校マスタ!$L7&gt;=M$3,学校マスタ!$L7&lt;M$3+7)),"◆",IF(AND(学校マスタ!$O7&lt;&gt;"",学校マスタ!$P7&lt;&gt;"",学校マスタ!$O7&lt;M$3+7,学校マスタ!$P7&gt;=M$3),"█",IF(AND(学校マスタ!$R7&lt;&gt;"",学校マスタ!$U7&lt;&gt;"",学校マスタ!$R7&lt;M$3+7,学校マスタ!$U7&gt;=M$3),"▒","")))))</f>
        <v/>
      </c>
      <c r="N9" s="26">
        <f>IF(学校マスタ!$A7="","",IF(AND(学校マスタ!$U7&lt;&gt;"",学校マスタ!$U7&gt;=N$3,学校マスタ!$U7&lt;N$3+7),"◎",IF(OR(AND(学校マスタ!$H7&lt;&gt;"",学校マスタ!$H7&gt;=N$3,学校マスタ!$H7&lt;N$3+7),AND(学校マスタ!$J7&lt;&gt;"",学校マスタ!$J7&gt;=N$3,学校マスタ!$J7&lt;N$3+7),AND(学校マスタ!$L7&lt;&gt;"",学校マスタ!$L7&gt;=N$3,学校マスタ!$L7&lt;N$3+7)),"◆",IF(AND(学校マスタ!$O7&lt;&gt;"",学校マスタ!$P7&lt;&gt;"",学校マスタ!$O7&lt;N$3+7,学校マスタ!$P7&gt;=N$3),"█",IF(AND(学校マスタ!$R7&lt;&gt;"",学校マスタ!$U7&lt;&gt;"",学校マスタ!$R7&lt;N$3+7,学校マスタ!$U7&gt;=N$3),"▒","")))))</f>
        <v/>
      </c>
      <c r="O9" s="26">
        <f>IF(学校マスタ!$A7="","",IF(AND(学校マスタ!$U7&lt;&gt;"",学校マスタ!$U7&gt;=O$3,学校マスタ!$U7&lt;O$3+7),"◎",IF(OR(AND(学校マスタ!$H7&lt;&gt;"",学校マスタ!$H7&gt;=O$3,学校マスタ!$H7&lt;O$3+7),AND(学校マスタ!$J7&lt;&gt;"",学校マスタ!$J7&gt;=O$3,学校マスタ!$J7&lt;O$3+7),AND(学校マスタ!$L7&lt;&gt;"",学校マスタ!$L7&gt;=O$3,学校マスタ!$L7&lt;O$3+7)),"◆",IF(AND(学校マスタ!$O7&lt;&gt;"",学校マスタ!$P7&lt;&gt;"",学校マスタ!$O7&lt;O$3+7,学校マスタ!$P7&gt;=O$3),"█",IF(AND(学校マスタ!$R7&lt;&gt;"",学校マスタ!$U7&lt;&gt;"",学校マスタ!$R7&lt;O$3+7,学校マスタ!$U7&gt;=O$3),"▒","")))))</f>
        <v/>
      </c>
      <c r="P9" s="26">
        <f>IF(学校マスタ!$A7="","",IF(AND(学校マスタ!$U7&lt;&gt;"",学校マスタ!$U7&gt;=P$3,学校マスタ!$U7&lt;P$3+7),"◎",IF(OR(AND(学校マスタ!$H7&lt;&gt;"",学校マスタ!$H7&gt;=P$3,学校マスタ!$H7&lt;P$3+7),AND(学校マスタ!$J7&lt;&gt;"",学校マスタ!$J7&gt;=P$3,学校マスタ!$J7&lt;P$3+7),AND(学校マスタ!$L7&lt;&gt;"",学校マスタ!$L7&gt;=P$3,学校マスタ!$L7&lt;P$3+7)),"◆",IF(AND(学校マスタ!$O7&lt;&gt;"",学校マスタ!$P7&lt;&gt;"",学校マスタ!$O7&lt;P$3+7,学校マスタ!$P7&gt;=P$3),"█",IF(AND(学校マスタ!$R7&lt;&gt;"",学校マスタ!$U7&lt;&gt;"",学校マスタ!$R7&lt;P$3+7,学校マスタ!$U7&gt;=P$3),"▒","")))))</f>
        <v/>
      </c>
      <c r="Q9" s="26">
        <f>IF(学校マスタ!$A7="","",IF(AND(学校マスタ!$U7&lt;&gt;"",学校マスタ!$U7&gt;=Q$3,学校マスタ!$U7&lt;Q$3+7),"◎",IF(OR(AND(学校マスタ!$H7&lt;&gt;"",学校マスタ!$H7&gt;=Q$3,学校マスタ!$H7&lt;Q$3+7),AND(学校マスタ!$J7&lt;&gt;"",学校マスタ!$J7&gt;=Q$3,学校マスタ!$J7&lt;Q$3+7),AND(学校マスタ!$L7&lt;&gt;"",学校マスタ!$L7&gt;=Q$3,学校マスタ!$L7&lt;Q$3+7)),"◆",IF(AND(学校マスタ!$O7&lt;&gt;"",学校マスタ!$P7&lt;&gt;"",学校マスタ!$O7&lt;Q$3+7,学校マスタ!$P7&gt;=Q$3),"█",IF(AND(学校マスタ!$R7&lt;&gt;"",学校マスタ!$U7&lt;&gt;"",学校マスタ!$R7&lt;Q$3+7,学校マスタ!$U7&gt;=Q$3),"▒","")))))</f>
        <v/>
      </c>
      <c r="R9" s="26">
        <f>IF(学校マスタ!$A7="","",IF(AND(学校マスタ!$U7&lt;&gt;"",学校マスタ!$U7&gt;=R$3,学校マスタ!$U7&lt;R$3+7),"◎",IF(OR(AND(学校マスタ!$H7&lt;&gt;"",学校マスタ!$H7&gt;=R$3,学校マスタ!$H7&lt;R$3+7),AND(学校マスタ!$J7&lt;&gt;"",学校マスタ!$J7&gt;=R$3,学校マスタ!$J7&lt;R$3+7),AND(学校マスタ!$L7&lt;&gt;"",学校マスタ!$L7&gt;=R$3,学校マスタ!$L7&lt;R$3+7)),"◆",IF(AND(学校マスタ!$O7&lt;&gt;"",学校マスタ!$P7&lt;&gt;"",学校マスタ!$O7&lt;R$3+7,学校マスタ!$P7&gt;=R$3),"█",IF(AND(学校マスタ!$R7&lt;&gt;"",学校マスタ!$U7&lt;&gt;"",学校マスタ!$R7&lt;R$3+7,学校マスタ!$U7&gt;=R$3),"▒","")))))</f>
        <v/>
      </c>
      <c r="S9" s="26">
        <f>IF(学校マスタ!$A7="","",IF(AND(学校マスタ!$U7&lt;&gt;"",学校マスタ!$U7&gt;=S$3,学校マスタ!$U7&lt;S$3+7),"◎",IF(OR(AND(学校マスタ!$H7&lt;&gt;"",学校マスタ!$H7&gt;=S$3,学校マスタ!$H7&lt;S$3+7),AND(学校マスタ!$J7&lt;&gt;"",学校マスタ!$J7&gt;=S$3,学校マスタ!$J7&lt;S$3+7),AND(学校マスタ!$L7&lt;&gt;"",学校マスタ!$L7&gt;=S$3,学校マスタ!$L7&lt;S$3+7)),"◆",IF(AND(学校マスタ!$O7&lt;&gt;"",学校マスタ!$P7&lt;&gt;"",学校マスタ!$O7&lt;S$3+7,学校マスタ!$P7&gt;=S$3),"█",IF(AND(学校マスタ!$R7&lt;&gt;"",学校マスタ!$U7&lt;&gt;"",学校マスタ!$R7&lt;S$3+7,学校マスタ!$U7&gt;=S$3),"▒","")))))</f>
        <v/>
      </c>
      <c r="T9" s="26">
        <f>IF(学校マスタ!$A7="","",IF(AND(学校マスタ!$U7&lt;&gt;"",学校マスタ!$U7&gt;=T$3,学校マスタ!$U7&lt;T$3+7),"◎",IF(OR(AND(学校マスタ!$H7&lt;&gt;"",学校マスタ!$H7&gt;=T$3,学校マスタ!$H7&lt;T$3+7),AND(学校マスタ!$J7&lt;&gt;"",学校マスタ!$J7&gt;=T$3,学校マスタ!$J7&lt;T$3+7),AND(学校マスタ!$L7&lt;&gt;"",学校マスタ!$L7&gt;=T$3,学校マスタ!$L7&lt;T$3+7)),"◆",IF(AND(学校マスタ!$O7&lt;&gt;"",学校マスタ!$P7&lt;&gt;"",学校マスタ!$O7&lt;T$3+7,学校マスタ!$P7&gt;=T$3),"█",IF(AND(学校マスタ!$R7&lt;&gt;"",学校マスタ!$U7&lt;&gt;"",学校マスタ!$R7&lt;T$3+7,学校マスタ!$U7&gt;=T$3),"▒","")))))</f>
        <v/>
      </c>
      <c r="U9" s="26">
        <f>IF(学校マスタ!$A7="","",IF(AND(学校マスタ!$U7&lt;&gt;"",学校マスタ!$U7&gt;=U$3,学校マスタ!$U7&lt;U$3+7),"◎",IF(OR(AND(学校マスタ!$H7&lt;&gt;"",学校マスタ!$H7&gt;=U$3,学校マスタ!$H7&lt;U$3+7),AND(学校マスタ!$J7&lt;&gt;"",学校マスタ!$J7&gt;=U$3,学校マスタ!$J7&lt;U$3+7),AND(学校マスタ!$L7&lt;&gt;"",学校マスタ!$L7&gt;=U$3,学校マスタ!$L7&lt;U$3+7)),"◆",IF(AND(学校マスタ!$O7&lt;&gt;"",学校マスタ!$P7&lt;&gt;"",学校マスタ!$O7&lt;U$3+7,学校マスタ!$P7&gt;=U$3),"█",IF(AND(学校マスタ!$R7&lt;&gt;"",学校マスタ!$U7&lt;&gt;"",学校マスタ!$R7&lt;U$3+7,学校マスタ!$U7&gt;=U$3),"▒","")))))</f>
        <v/>
      </c>
      <c r="V9" s="26">
        <f>IF(学校マスタ!$A7="","",IF(AND(学校マスタ!$U7&lt;&gt;"",学校マスタ!$U7&gt;=V$3,学校マスタ!$U7&lt;V$3+7),"◎",IF(OR(AND(学校マスタ!$H7&lt;&gt;"",学校マスタ!$H7&gt;=V$3,学校マスタ!$H7&lt;V$3+7),AND(学校マスタ!$J7&lt;&gt;"",学校マスタ!$J7&gt;=V$3,学校マスタ!$J7&lt;V$3+7),AND(学校マスタ!$L7&lt;&gt;"",学校マスタ!$L7&gt;=V$3,学校マスタ!$L7&lt;V$3+7)),"◆",IF(AND(学校マスタ!$O7&lt;&gt;"",学校マスタ!$P7&lt;&gt;"",学校マスタ!$O7&lt;V$3+7,学校マスタ!$P7&gt;=V$3),"█",IF(AND(学校マスタ!$R7&lt;&gt;"",学校マスタ!$U7&lt;&gt;"",学校マスタ!$R7&lt;V$3+7,学校マスタ!$U7&gt;=V$3),"▒","")))))</f>
        <v/>
      </c>
      <c r="W9" s="26">
        <f>IF(学校マスタ!$A7="","",IF(AND(学校マスタ!$U7&lt;&gt;"",学校マスタ!$U7&gt;=W$3,学校マスタ!$U7&lt;W$3+7),"◎",IF(OR(AND(学校マスタ!$H7&lt;&gt;"",学校マスタ!$H7&gt;=W$3,学校マスタ!$H7&lt;W$3+7),AND(学校マスタ!$J7&lt;&gt;"",学校マスタ!$J7&gt;=W$3,学校マスタ!$J7&lt;W$3+7),AND(学校マスタ!$L7&lt;&gt;"",学校マスタ!$L7&gt;=W$3,学校マスタ!$L7&lt;W$3+7)),"◆",IF(AND(学校マスタ!$O7&lt;&gt;"",学校マスタ!$P7&lt;&gt;"",学校マスタ!$O7&lt;W$3+7,学校マスタ!$P7&gt;=W$3),"█",IF(AND(学校マスタ!$R7&lt;&gt;"",学校マスタ!$U7&lt;&gt;"",学校マスタ!$R7&lt;W$3+7,学校マスタ!$U7&gt;=W$3),"▒","")))))</f>
        <v/>
      </c>
      <c r="X9" s="26">
        <f>IF(学校マスタ!$A7="","",IF(AND(学校マスタ!$U7&lt;&gt;"",学校マスタ!$U7&gt;=X$3,学校マスタ!$U7&lt;X$3+7),"◎",IF(OR(AND(学校マスタ!$H7&lt;&gt;"",学校マスタ!$H7&gt;=X$3,学校マスタ!$H7&lt;X$3+7),AND(学校マスタ!$J7&lt;&gt;"",学校マスタ!$J7&gt;=X$3,学校マスタ!$J7&lt;X$3+7),AND(学校マスタ!$L7&lt;&gt;"",学校マスタ!$L7&gt;=X$3,学校マスタ!$L7&lt;X$3+7)),"◆",IF(AND(学校マスタ!$O7&lt;&gt;"",学校マスタ!$P7&lt;&gt;"",学校マスタ!$O7&lt;X$3+7,学校マスタ!$P7&gt;=X$3),"█",IF(AND(学校マスタ!$R7&lt;&gt;"",学校マスタ!$U7&lt;&gt;"",学校マスタ!$R7&lt;X$3+7,学校マスタ!$U7&gt;=X$3),"▒","")))))</f>
        <v/>
      </c>
      <c r="Y9" s="26">
        <f>IF(学校マスタ!$A7="","",IF(AND(学校マスタ!$U7&lt;&gt;"",学校マスタ!$U7&gt;=Y$3,学校マスタ!$U7&lt;Y$3+7),"◎",IF(OR(AND(学校マスタ!$H7&lt;&gt;"",学校マスタ!$H7&gt;=Y$3,学校マスタ!$H7&lt;Y$3+7),AND(学校マスタ!$J7&lt;&gt;"",学校マスタ!$J7&gt;=Y$3,学校マスタ!$J7&lt;Y$3+7),AND(学校マスタ!$L7&lt;&gt;"",学校マスタ!$L7&gt;=Y$3,学校マスタ!$L7&lt;Y$3+7)),"◆",IF(AND(学校マスタ!$O7&lt;&gt;"",学校マスタ!$P7&lt;&gt;"",学校マスタ!$O7&lt;Y$3+7,学校マスタ!$P7&gt;=Y$3),"█",IF(AND(学校マスタ!$R7&lt;&gt;"",学校マスタ!$U7&lt;&gt;"",学校マスタ!$R7&lt;Y$3+7,学校マスタ!$U7&gt;=Y$3),"▒","")))))</f>
        <v/>
      </c>
      <c r="Z9" s="26">
        <f>IF(学校マスタ!$A7="","",IF(AND(学校マスタ!$U7&lt;&gt;"",学校マスタ!$U7&gt;=Z$3,学校マスタ!$U7&lt;Z$3+7),"◎",IF(OR(AND(学校マスタ!$H7&lt;&gt;"",学校マスタ!$H7&gt;=Z$3,学校マスタ!$H7&lt;Z$3+7),AND(学校マスタ!$J7&lt;&gt;"",学校マスタ!$J7&gt;=Z$3,学校マスタ!$J7&lt;Z$3+7),AND(学校マスタ!$L7&lt;&gt;"",学校マスタ!$L7&gt;=Z$3,学校マスタ!$L7&lt;Z$3+7)),"◆",IF(AND(学校マスタ!$O7&lt;&gt;"",学校マスタ!$P7&lt;&gt;"",学校マスタ!$O7&lt;Z$3+7,学校マスタ!$P7&gt;=Z$3),"█",IF(AND(学校マスタ!$R7&lt;&gt;"",学校マスタ!$U7&lt;&gt;"",学校マスタ!$R7&lt;Z$3+7,学校マスタ!$U7&gt;=Z$3),"▒","")))))</f>
        <v/>
      </c>
      <c r="AA9" s="26">
        <f>IF(学校マスタ!$A7="","",IF(AND(学校マスタ!$U7&lt;&gt;"",学校マスタ!$U7&gt;=AA$3,学校マスタ!$U7&lt;AA$3+7),"◎",IF(OR(AND(学校マスタ!$H7&lt;&gt;"",学校マスタ!$H7&gt;=AA$3,学校マスタ!$H7&lt;AA$3+7),AND(学校マスタ!$J7&lt;&gt;"",学校マスタ!$J7&gt;=AA$3,学校マスタ!$J7&lt;AA$3+7),AND(学校マスタ!$L7&lt;&gt;"",学校マスタ!$L7&gt;=AA$3,学校マスタ!$L7&lt;AA$3+7)),"◆",IF(AND(学校マスタ!$O7&lt;&gt;"",学校マスタ!$P7&lt;&gt;"",学校マスタ!$O7&lt;AA$3+7,学校マスタ!$P7&gt;=AA$3),"█",IF(AND(学校マスタ!$R7&lt;&gt;"",学校マスタ!$U7&lt;&gt;"",学校マスタ!$R7&lt;AA$3+7,学校マスタ!$U7&gt;=AA$3),"▒","")))))</f>
        <v/>
      </c>
      <c r="AB9" s="26">
        <f>IF(学校マスタ!$A7="","",IF(AND(学校マスタ!$U7&lt;&gt;"",学校マスタ!$U7&gt;=AB$3,学校マスタ!$U7&lt;AB$3+7),"◎",IF(OR(AND(学校マスタ!$H7&lt;&gt;"",学校マスタ!$H7&gt;=AB$3,学校マスタ!$H7&lt;AB$3+7),AND(学校マスタ!$J7&lt;&gt;"",学校マスタ!$J7&gt;=AB$3,学校マスタ!$J7&lt;AB$3+7),AND(学校マスタ!$L7&lt;&gt;"",学校マスタ!$L7&gt;=AB$3,学校マスタ!$L7&lt;AB$3+7)),"◆",IF(AND(学校マスタ!$O7&lt;&gt;"",学校マスタ!$P7&lt;&gt;"",学校マスタ!$O7&lt;AB$3+7,学校マスタ!$P7&gt;=AB$3),"█",IF(AND(学校マスタ!$R7&lt;&gt;"",学校マスタ!$U7&lt;&gt;"",学校マスタ!$R7&lt;AB$3+7,学校マスタ!$U7&gt;=AB$3),"▒","")))))</f>
        <v/>
      </c>
    </row>
    <row r="10">
      <c r="A10" s="19">
        <f>IF(学校マスタ!$A8="","",学校マスタ!$A8)</f>
        <v/>
      </c>
      <c r="B10" s="19">
        <f>IF(学校マスタ!$A8="","",学校マスタ!$C8)</f>
        <v/>
      </c>
      <c r="C10" s="19">
        <f>IF(学校マスタ!$A8="","",学校マスタ!$X8)</f>
        <v/>
      </c>
      <c r="D10" s="25">
        <f>IF(学校マスタ!$A8="","",学校マスタ!$R8)</f>
        <v/>
      </c>
      <c r="E10" s="26">
        <f>IF(学校マスタ!$A8="","",IF(AND(学校マスタ!$U8&lt;&gt;"",学校マスタ!$U8&gt;=E$3,学校マスタ!$U8&lt;E$3+7),"◎",IF(OR(AND(学校マスタ!$H8&lt;&gt;"",学校マスタ!$H8&gt;=E$3,学校マスタ!$H8&lt;E$3+7),AND(学校マスタ!$J8&lt;&gt;"",学校マスタ!$J8&gt;=E$3,学校マスタ!$J8&lt;E$3+7),AND(学校マスタ!$L8&lt;&gt;"",学校マスタ!$L8&gt;=E$3,学校マスタ!$L8&lt;E$3+7)),"◆",IF(AND(学校マスタ!$O8&lt;&gt;"",学校マスタ!$P8&lt;&gt;"",学校マスタ!$O8&lt;E$3+7,学校マスタ!$P8&gt;=E$3),"█",IF(AND(学校マスタ!$R8&lt;&gt;"",学校マスタ!$U8&lt;&gt;"",学校マスタ!$R8&lt;E$3+7,学校マスタ!$U8&gt;=E$3),"▒","")))))</f>
        <v/>
      </c>
      <c r="F10" s="26">
        <f>IF(学校マスタ!$A8="","",IF(AND(学校マスタ!$U8&lt;&gt;"",学校マスタ!$U8&gt;=F$3,学校マスタ!$U8&lt;F$3+7),"◎",IF(OR(AND(学校マスタ!$H8&lt;&gt;"",学校マスタ!$H8&gt;=F$3,学校マスタ!$H8&lt;F$3+7),AND(学校マスタ!$J8&lt;&gt;"",学校マスタ!$J8&gt;=F$3,学校マスタ!$J8&lt;F$3+7),AND(学校マスタ!$L8&lt;&gt;"",学校マスタ!$L8&gt;=F$3,学校マスタ!$L8&lt;F$3+7)),"◆",IF(AND(学校マスタ!$O8&lt;&gt;"",学校マスタ!$P8&lt;&gt;"",学校マスタ!$O8&lt;F$3+7,学校マスタ!$P8&gt;=F$3),"█",IF(AND(学校マスタ!$R8&lt;&gt;"",学校マスタ!$U8&lt;&gt;"",学校マスタ!$R8&lt;F$3+7,学校マスタ!$U8&gt;=F$3),"▒","")))))</f>
        <v/>
      </c>
      <c r="G10" s="26">
        <f>IF(学校マスタ!$A8="","",IF(AND(学校マスタ!$U8&lt;&gt;"",学校マスタ!$U8&gt;=G$3,学校マスタ!$U8&lt;G$3+7),"◎",IF(OR(AND(学校マスタ!$H8&lt;&gt;"",学校マスタ!$H8&gt;=G$3,学校マスタ!$H8&lt;G$3+7),AND(学校マスタ!$J8&lt;&gt;"",学校マスタ!$J8&gt;=G$3,学校マスタ!$J8&lt;G$3+7),AND(学校マスタ!$L8&lt;&gt;"",学校マスタ!$L8&gt;=G$3,学校マスタ!$L8&lt;G$3+7)),"◆",IF(AND(学校マスタ!$O8&lt;&gt;"",学校マスタ!$P8&lt;&gt;"",学校マスタ!$O8&lt;G$3+7,学校マスタ!$P8&gt;=G$3),"█",IF(AND(学校マスタ!$R8&lt;&gt;"",学校マスタ!$U8&lt;&gt;"",学校マスタ!$R8&lt;G$3+7,学校マスタ!$U8&gt;=G$3),"▒","")))))</f>
        <v/>
      </c>
      <c r="H10" s="26">
        <f>IF(学校マスタ!$A8="","",IF(AND(学校マスタ!$U8&lt;&gt;"",学校マスタ!$U8&gt;=H$3,学校マスタ!$U8&lt;H$3+7),"◎",IF(OR(AND(学校マスタ!$H8&lt;&gt;"",学校マスタ!$H8&gt;=H$3,学校マスタ!$H8&lt;H$3+7),AND(学校マスタ!$J8&lt;&gt;"",学校マスタ!$J8&gt;=H$3,学校マスタ!$J8&lt;H$3+7),AND(学校マスタ!$L8&lt;&gt;"",学校マスタ!$L8&gt;=H$3,学校マスタ!$L8&lt;H$3+7)),"◆",IF(AND(学校マスタ!$O8&lt;&gt;"",学校マスタ!$P8&lt;&gt;"",学校マスタ!$O8&lt;H$3+7,学校マスタ!$P8&gt;=H$3),"█",IF(AND(学校マスタ!$R8&lt;&gt;"",学校マスタ!$U8&lt;&gt;"",学校マスタ!$R8&lt;H$3+7,学校マスタ!$U8&gt;=H$3),"▒","")))))</f>
        <v/>
      </c>
      <c r="I10" s="26">
        <f>IF(学校マスタ!$A8="","",IF(AND(学校マスタ!$U8&lt;&gt;"",学校マスタ!$U8&gt;=I$3,学校マスタ!$U8&lt;I$3+7),"◎",IF(OR(AND(学校マスタ!$H8&lt;&gt;"",学校マスタ!$H8&gt;=I$3,学校マスタ!$H8&lt;I$3+7),AND(学校マスタ!$J8&lt;&gt;"",学校マスタ!$J8&gt;=I$3,学校マスタ!$J8&lt;I$3+7),AND(学校マスタ!$L8&lt;&gt;"",学校マスタ!$L8&gt;=I$3,学校マスタ!$L8&lt;I$3+7)),"◆",IF(AND(学校マスタ!$O8&lt;&gt;"",学校マスタ!$P8&lt;&gt;"",学校マスタ!$O8&lt;I$3+7,学校マスタ!$P8&gt;=I$3),"█",IF(AND(学校マスタ!$R8&lt;&gt;"",学校マスタ!$U8&lt;&gt;"",学校マスタ!$R8&lt;I$3+7,学校マスタ!$U8&gt;=I$3),"▒","")))))</f>
        <v/>
      </c>
      <c r="J10" s="26">
        <f>IF(学校マスタ!$A8="","",IF(AND(学校マスタ!$U8&lt;&gt;"",学校マスタ!$U8&gt;=J$3,学校マスタ!$U8&lt;J$3+7),"◎",IF(OR(AND(学校マスタ!$H8&lt;&gt;"",学校マスタ!$H8&gt;=J$3,学校マスタ!$H8&lt;J$3+7),AND(学校マスタ!$J8&lt;&gt;"",学校マスタ!$J8&gt;=J$3,学校マスタ!$J8&lt;J$3+7),AND(学校マスタ!$L8&lt;&gt;"",学校マスタ!$L8&gt;=J$3,学校マスタ!$L8&lt;J$3+7)),"◆",IF(AND(学校マスタ!$O8&lt;&gt;"",学校マスタ!$P8&lt;&gt;"",学校マスタ!$O8&lt;J$3+7,学校マスタ!$P8&gt;=J$3),"█",IF(AND(学校マスタ!$R8&lt;&gt;"",学校マスタ!$U8&lt;&gt;"",学校マスタ!$R8&lt;J$3+7,学校マスタ!$U8&gt;=J$3),"▒","")))))</f>
        <v/>
      </c>
      <c r="K10" s="26">
        <f>IF(学校マスタ!$A8="","",IF(AND(学校マスタ!$U8&lt;&gt;"",学校マスタ!$U8&gt;=K$3,学校マスタ!$U8&lt;K$3+7),"◎",IF(OR(AND(学校マスタ!$H8&lt;&gt;"",学校マスタ!$H8&gt;=K$3,学校マスタ!$H8&lt;K$3+7),AND(学校マスタ!$J8&lt;&gt;"",学校マスタ!$J8&gt;=K$3,学校マスタ!$J8&lt;K$3+7),AND(学校マスタ!$L8&lt;&gt;"",学校マスタ!$L8&gt;=K$3,学校マスタ!$L8&lt;K$3+7)),"◆",IF(AND(学校マスタ!$O8&lt;&gt;"",学校マスタ!$P8&lt;&gt;"",学校マスタ!$O8&lt;K$3+7,学校マスタ!$P8&gt;=K$3),"█",IF(AND(学校マスタ!$R8&lt;&gt;"",学校マスタ!$U8&lt;&gt;"",学校マスタ!$R8&lt;K$3+7,学校マスタ!$U8&gt;=K$3),"▒","")))))</f>
        <v/>
      </c>
      <c r="L10" s="26">
        <f>IF(学校マスタ!$A8="","",IF(AND(学校マスタ!$U8&lt;&gt;"",学校マスタ!$U8&gt;=L$3,学校マスタ!$U8&lt;L$3+7),"◎",IF(OR(AND(学校マスタ!$H8&lt;&gt;"",学校マスタ!$H8&gt;=L$3,学校マスタ!$H8&lt;L$3+7),AND(学校マスタ!$J8&lt;&gt;"",学校マスタ!$J8&gt;=L$3,学校マスタ!$J8&lt;L$3+7),AND(学校マスタ!$L8&lt;&gt;"",学校マスタ!$L8&gt;=L$3,学校マスタ!$L8&lt;L$3+7)),"◆",IF(AND(学校マスタ!$O8&lt;&gt;"",学校マスタ!$P8&lt;&gt;"",学校マスタ!$O8&lt;L$3+7,学校マスタ!$P8&gt;=L$3),"█",IF(AND(学校マスタ!$R8&lt;&gt;"",学校マスタ!$U8&lt;&gt;"",学校マスタ!$R8&lt;L$3+7,学校マスタ!$U8&gt;=L$3),"▒","")))))</f>
        <v/>
      </c>
      <c r="M10" s="26">
        <f>IF(学校マスタ!$A8="","",IF(AND(学校マスタ!$U8&lt;&gt;"",学校マスタ!$U8&gt;=M$3,学校マスタ!$U8&lt;M$3+7),"◎",IF(OR(AND(学校マスタ!$H8&lt;&gt;"",学校マスタ!$H8&gt;=M$3,学校マスタ!$H8&lt;M$3+7),AND(学校マスタ!$J8&lt;&gt;"",学校マスタ!$J8&gt;=M$3,学校マスタ!$J8&lt;M$3+7),AND(学校マスタ!$L8&lt;&gt;"",学校マスタ!$L8&gt;=M$3,学校マスタ!$L8&lt;M$3+7)),"◆",IF(AND(学校マスタ!$O8&lt;&gt;"",学校マスタ!$P8&lt;&gt;"",学校マスタ!$O8&lt;M$3+7,学校マスタ!$P8&gt;=M$3),"█",IF(AND(学校マスタ!$R8&lt;&gt;"",学校マスタ!$U8&lt;&gt;"",学校マスタ!$R8&lt;M$3+7,学校マスタ!$U8&gt;=M$3),"▒","")))))</f>
        <v/>
      </c>
      <c r="N10" s="26">
        <f>IF(学校マスタ!$A8="","",IF(AND(学校マスタ!$U8&lt;&gt;"",学校マスタ!$U8&gt;=N$3,学校マスタ!$U8&lt;N$3+7),"◎",IF(OR(AND(学校マスタ!$H8&lt;&gt;"",学校マスタ!$H8&gt;=N$3,学校マスタ!$H8&lt;N$3+7),AND(学校マスタ!$J8&lt;&gt;"",学校マスタ!$J8&gt;=N$3,学校マスタ!$J8&lt;N$3+7),AND(学校マスタ!$L8&lt;&gt;"",学校マスタ!$L8&gt;=N$3,学校マスタ!$L8&lt;N$3+7)),"◆",IF(AND(学校マスタ!$O8&lt;&gt;"",学校マスタ!$P8&lt;&gt;"",学校マスタ!$O8&lt;N$3+7,学校マスタ!$P8&gt;=N$3),"█",IF(AND(学校マスタ!$R8&lt;&gt;"",学校マスタ!$U8&lt;&gt;"",学校マスタ!$R8&lt;N$3+7,学校マスタ!$U8&gt;=N$3),"▒","")))))</f>
        <v/>
      </c>
      <c r="O10" s="26">
        <f>IF(学校マスタ!$A8="","",IF(AND(学校マスタ!$U8&lt;&gt;"",学校マスタ!$U8&gt;=O$3,学校マスタ!$U8&lt;O$3+7),"◎",IF(OR(AND(学校マスタ!$H8&lt;&gt;"",学校マスタ!$H8&gt;=O$3,学校マスタ!$H8&lt;O$3+7),AND(学校マスタ!$J8&lt;&gt;"",学校マスタ!$J8&gt;=O$3,学校マスタ!$J8&lt;O$3+7),AND(学校マスタ!$L8&lt;&gt;"",学校マスタ!$L8&gt;=O$3,学校マスタ!$L8&lt;O$3+7)),"◆",IF(AND(学校マスタ!$O8&lt;&gt;"",学校マスタ!$P8&lt;&gt;"",学校マスタ!$O8&lt;O$3+7,学校マスタ!$P8&gt;=O$3),"█",IF(AND(学校マスタ!$R8&lt;&gt;"",学校マスタ!$U8&lt;&gt;"",学校マスタ!$R8&lt;O$3+7,学校マスタ!$U8&gt;=O$3),"▒","")))))</f>
        <v/>
      </c>
      <c r="P10" s="26">
        <f>IF(学校マスタ!$A8="","",IF(AND(学校マスタ!$U8&lt;&gt;"",学校マスタ!$U8&gt;=P$3,学校マスタ!$U8&lt;P$3+7),"◎",IF(OR(AND(学校マスタ!$H8&lt;&gt;"",学校マスタ!$H8&gt;=P$3,学校マスタ!$H8&lt;P$3+7),AND(学校マスタ!$J8&lt;&gt;"",学校マスタ!$J8&gt;=P$3,学校マスタ!$J8&lt;P$3+7),AND(学校マスタ!$L8&lt;&gt;"",学校マスタ!$L8&gt;=P$3,学校マスタ!$L8&lt;P$3+7)),"◆",IF(AND(学校マスタ!$O8&lt;&gt;"",学校マスタ!$P8&lt;&gt;"",学校マスタ!$O8&lt;P$3+7,学校マスタ!$P8&gt;=P$3),"█",IF(AND(学校マスタ!$R8&lt;&gt;"",学校マスタ!$U8&lt;&gt;"",学校マスタ!$R8&lt;P$3+7,学校マスタ!$U8&gt;=P$3),"▒","")))))</f>
        <v/>
      </c>
      <c r="Q10" s="26">
        <f>IF(学校マスタ!$A8="","",IF(AND(学校マスタ!$U8&lt;&gt;"",学校マスタ!$U8&gt;=Q$3,学校マスタ!$U8&lt;Q$3+7),"◎",IF(OR(AND(学校マスタ!$H8&lt;&gt;"",学校マスタ!$H8&gt;=Q$3,学校マスタ!$H8&lt;Q$3+7),AND(学校マスタ!$J8&lt;&gt;"",学校マスタ!$J8&gt;=Q$3,学校マスタ!$J8&lt;Q$3+7),AND(学校マスタ!$L8&lt;&gt;"",学校マスタ!$L8&gt;=Q$3,学校マスタ!$L8&lt;Q$3+7)),"◆",IF(AND(学校マスタ!$O8&lt;&gt;"",学校マスタ!$P8&lt;&gt;"",学校マスタ!$O8&lt;Q$3+7,学校マスタ!$P8&gt;=Q$3),"█",IF(AND(学校マスタ!$R8&lt;&gt;"",学校マスタ!$U8&lt;&gt;"",学校マスタ!$R8&lt;Q$3+7,学校マスタ!$U8&gt;=Q$3),"▒","")))))</f>
        <v/>
      </c>
      <c r="R10" s="26">
        <f>IF(学校マスタ!$A8="","",IF(AND(学校マスタ!$U8&lt;&gt;"",学校マスタ!$U8&gt;=R$3,学校マスタ!$U8&lt;R$3+7),"◎",IF(OR(AND(学校マスタ!$H8&lt;&gt;"",学校マスタ!$H8&gt;=R$3,学校マスタ!$H8&lt;R$3+7),AND(学校マスタ!$J8&lt;&gt;"",学校マスタ!$J8&gt;=R$3,学校マスタ!$J8&lt;R$3+7),AND(学校マスタ!$L8&lt;&gt;"",学校マスタ!$L8&gt;=R$3,学校マスタ!$L8&lt;R$3+7)),"◆",IF(AND(学校マスタ!$O8&lt;&gt;"",学校マスタ!$P8&lt;&gt;"",学校マスタ!$O8&lt;R$3+7,学校マスタ!$P8&gt;=R$3),"█",IF(AND(学校マスタ!$R8&lt;&gt;"",学校マスタ!$U8&lt;&gt;"",学校マスタ!$R8&lt;R$3+7,学校マスタ!$U8&gt;=R$3),"▒","")))))</f>
        <v/>
      </c>
      <c r="S10" s="26">
        <f>IF(学校マスタ!$A8="","",IF(AND(学校マスタ!$U8&lt;&gt;"",学校マスタ!$U8&gt;=S$3,学校マスタ!$U8&lt;S$3+7),"◎",IF(OR(AND(学校マスタ!$H8&lt;&gt;"",学校マスタ!$H8&gt;=S$3,学校マスタ!$H8&lt;S$3+7),AND(学校マスタ!$J8&lt;&gt;"",学校マスタ!$J8&gt;=S$3,学校マスタ!$J8&lt;S$3+7),AND(学校マスタ!$L8&lt;&gt;"",学校マスタ!$L8&gt;=S$3,学校マスタ!$L8&lt;S$3+7)),"◆",IF(AND(学校マスタ!$O8&lt;&gt;"",学校マスタ!$P8&lt;&gt;"",学校マスタ!$O8&lt;S$3+7,学校マスタ!$P8&gt;=S$3),"█",IF(AND(学校マスタ!$R8&lt;&gt;"",学校マスタ!$U8&lt;&gt;"",学校マスタ!$R8&lt;S$3+7,学校マスタ!$U8&gt;=S$3),"▒","")))))</f>
        <v/>
      </c>
      <c r="T10" s="26">
        <f>IF(学校マスタ!$A8="","",IF(AND(学校マスタ!$U8&lt;&gt;"",学校マスタ!$U8&gt;=T$3,学校マスタ!$U8&lt;T$3+7),"◎",IF(OR(AND(学校マスタ!$H8&lt;&gt;"",学校マスタ!$H8&gt;=T$3,学校マスタ!$H8&lt;T$3+7),AND(学校マスタ!$J8&lt;&gt;"",学校マスタ!$J8&gt;=T$3,学校マスタ!$J8&lt;T$3+7),AND(学校マスタ!$L8&lt;&gt;"",学校マスタ!$L8&gt;=T$3,学校マスタ!$L8&lt;T$3+7)),"◆",IF(AND(学校マスタ!$O8&lt;&gt;"",学校マスタ!$P8&lt;&gt;"",学校マスタ!$O8&lt;T$3+7,学校マスタ!$P8&gt;=T$3),"█",IF(AND(学校マスタ!$R8&lt;&gt;"",学校マスタ!$U8&lt;&gt;"",学校マスタ!$R8&lt;T$3+7,学校マスタ!$U8&gt;=T$3),"▒","")))))</f>
        <v/>
      </c>
      <c r="U10" s="26">
        <f>IF(学校マスタ!$A8="","",IF(AND(学校マスタ!$U8&lt;&gt;"",学校マスタ!$U8&gt;=U$3,学校マスタ!$U8&lt;U$3+7),"◎",IF(OR(AND(学校マスタ!$H8&lt;&gt;"",学校マスタ!$H8&gt;=U$3,学校マスタ!$H8&lt;U$3+7),AND(学校マスタ!$J8&lt;&gt;"",学校マスタ!$J8&gt;=U$3,学校マスタ!$J8&lt;U$3+7),AND(学校マスタ!$L8&lt;&gt;"",学校マスタ!$L8&gt;=U$3,学校マスタ!$L8&lt;U$3+7)),"◆",IF(AND(学校マスタ!$O8&lt;&gt;"",学校マスタ!$P8&lt;&gt;"",学校マスタ!$O8&lt;U$3+7,学校マスタ!$P8&gt;=U$3),"█",IF(AND(学校マスタ!$R8&lt;&gt;"",学校マスタ!$U8&lt;&gt;"",学校マスタ!$R8&lt;U$3+7,学校マスタ!$U8&gt;=U$3),"▒","")))))</f>
        <v/>
      </c>
      <c r="V10" s="26">
        <f>IF(学校マスタ!$A8="","",IF(AND(学校マスタ!$U8&lt;&gt;"",学校マスタ!$U8&gt;=V$3,学校マスタ!$U8&lt;V$3+7),"◎",IF(OR(AND(学校マスタ!$H8&lt;&gt;"",学校マスタ!$H8&gt;=V$3,学校マスタ!$H8&lt;V$3+7),AND(学校マスタ!$J8&lt;&gt;"",学校マスタ!$J8&gt;=V$3,学校マスタ!$J8&lt;V$3+7),AND(学校マスタ!$L8&lt;&gt;"",学校マスタ!$L8&gt;=V$3,学校マスタ!$L8&lt;V$3+7)),"◆",IF(AND(学校マスタ!$O8&lt;&gt;"",学校マスタ!$P8&lt;&gt;"",学校マスタ!$O8&lt;V$3+7,学校マスタ!$P8&gt;=V$3),"█",IF(AND(学校マスタ!$R8&lt;&gt;"",学校マスタ!$U8&lt;&gt;"",学校マスタ!$R8&lt;V$3+7,学校マスタ!$U8&gt;=V$3),"▒","")))))</f>
        <v/>
      </c>
      <c r="W10" s="26">
        <f>IF(学校マスタ!$A8="","",IF(AND(学校マスタ!$U8&lt;&gt;"",学校マスタ!$U8&gt;=W$3,学校マスタ!$U8&lt;W$3+7),"◎",IF(OR(AND(学校マスタ!$H8&lt;&gt;"",学校マスタ!$H8&gt;=W$3,学校マスタ!$H8&lt;W$3+7),AND(学校マスタ!$J8&lt;&gt;"",学校マスタ!$J8&gt;=W$3,学校マスタ!$J8&lt;W$3+7),AND(学校マスタ!$L8&lt;&gt;"",学校マスタ!$L8&gt;=W$3,学校マスタ!$L8&lt;W$3+7)),"◆",IF(AND(学校マスタ!$O8&lt;&gt;"",学校マスタ!$P8&lt;&gt;"",学校マスタ!$O8&lt;W$3+7,学校マスタ!$P8&gt;=W$3),"█",IF(AND(学校マスタ!$R8&lt;&gt;"",学校マスタ!$U8&lt;&gt;"",学校マスタ!$R8&lt;W$3+7,学校マスタ!$U8&gt;=W$3),"▒","")))))</f>
        <v/>
      </c>
      <c r="X10" s="26">
        <f>IF(学校マスタ!$A8="","",IF(AND(学校マスタ!$U8&lt;&gt;"",学校マスタ!$U8&gt;=X$3,学校マスタ!$U8&lt;X$3+7),"◎",IF(OR(AND(学校マスタ!$H8&lt;&gt;"",学校マスタ!$H8&gt;=X$3,学校マスタ!$H8&lt;X$3+7),AND(学校マスタ!$J8&lt;&gt;"",学校マスタ!$J8&gt;=X$3,学校マスタ!$J8&lt;X$3+7),AND(学校マスタ!$L8&lt;&gt;"",学校マスタ!$L8&gt;=X$3,学校マスタ!$L8&lt;X$3+7)),"◆",IF(AND(学校マスタ!$O8&lt;&gt;"",学校マスタ!$P8&lt;&gt;"",学校マスタ!$O8&lt;X$3+7,学校マスタ!$P8&gt;=X$3),"█",IF(AND(学校マスタ!$R8&lt;&gt;"",学校マスタ!$U8&lt;&gt;"",学校マスタ!$R8&lt;X$3+7,学校マスタ!$U8&gt;=X$3),"▒","")))))</f>
        <v/>
      </c>
      <c r="Y10" s="26">
        <f>IF(学校マスタ!$A8="","",IF(AND(学校マスタ!$U8&lt;&gt;"",学校マスタ!$U8&gt;=Y$3,学校マスタ!$U8&lt;Y$3+7),"◎",IF(OR(AND(学校マスタ!$H8&lt;&gt;"",学校マスタ!$H8&gt;=Y$3,学校マスタ!$H8&lt;Y$3+7),AND(学校マスタ!$J8&lt;&gt;"",学校マスタ!$J8&gt;=Y$3,学校マスタ!$J8&lt;Y$3+7),AND(学校マスタ!$L8&lt;&gt;"",学校マスタ!$L8&gt;=Y$3,学校マスタ!$L8&lt;Y$3+7)),"◆",IF(AND(学校マスタ!$O8&lt;&gt;"",学校マスタ!$P8&lt;&gt;"",学校マスタ!$O8&lt;Y$3+7,学校マスタ!$P8&gt;=Y$3),"█",IF(AND(学校マスタ!$R8&lt;&gt;"",学校マスタ!$U8&lt;&gt;"",学校マスタ!$R8&lt;Y$3+7,学校マスタ!$U8&gt;=Y$3),"▒","")))))</f>
        <v/>
      </c>
      <c r="Z10" s="26">
        <f>IF(学校マスタ!$A8="","",IF(AND(学校マスタ!$U8&lt;&gt;"",学校マスタ!$U8&gt;=Z$3,学校マスタ!$U8&lt;Z$3+7),"◎",IF(OR(AND(学校マスタ!$H8&lt;&gt;"",学校マスタ!$H8&gt;=Z$3,学校マスタ!$H8&lt;Z$3+7),AND(学校マスタ!$J8&lt;&gt;"",学校マスタ!$J8&gt;=Z$3,学校マスタ!$J8&lt;Z$3+7),AND(学校マスタ!$L8&lt;&gt;"",学校マスタ!$L8&gt;=Z$3,学校マスタ!$L8&lt;Z$3+7)),"◆",IF(AND(学校マスタ!$O8&lt;&gt;"",学校マスタ!$P8&lt;&gt;"",学校マスタ!$O8&lt;Z$3+7,学校マスタ!$P8&gt;=Z$3),"█",IF(AND(学校マスタ!$R8&lt;&gt;"",学校マスタ!$U8&lt;&gt;"",学校マスタ!$R8&lt;Z$3+7,学校マスタ!$U8&gt;=Z$3),"▒","")))))</f>
        <v/>
      </c>
      <c r="AA10" s="26">
        <f>IF(学校マスタ!$A8="","",IF(AND(学校マスタ!$U8&lt;&gt;"",学校マスタ!$U8&gt;=AA$3,学校マスタ!$U8&lt;AA$3+7),"◎",IF(OR(AND(学校マスタ!$H8&lt;&gt;"",学校マスタ!$H8&gt;=AA$3,学校マスタ!$H8&lt;AA$3+7),AND(学校マスタ!$J8&lt;&gt;"",学校マスタ!$J8&gt;=AA$3,学校マスタ!$J8&lt;AA$3+7),AND(学校マスタ!$L8&lt;&gt;"",学校マスタ!$L8&gt;=AA$3,学校マスタ!$L8&lt;AA$3+7)),"◆",IF(AND(学校マスタ!$O8&lt;&gt;"",学校マスタ!$P8&lt;&gt;"",学校マスタ!$O8&lt;AA$3+7,学校マスタ!$P8&gt;=AA$3),"█",IF(AND(学校マスタ!$R8&lt;&gt;"",学校マスタ!$U8&lt;&gt;"",学校マスタ!$R8&lt;AA$3+7,学校マスタ!$U8&gt;=AA$3),"▒","")))))</f>
        <v/>
      </c>
      <c r="AB10" s="26">
        <f>IF(学校マスタ!$A8="","",IF(AND(学校マスタ!$U8&lt;&gt;"",学校マスタ!$U8&gt;=AB$3,学校マスタ!$U8&lt;AB$3+7),"◎",IF(OR(AND(学校マスタ!$H8&lt;&gt;"",学校マスタ!$H8&gt;=AB$3,学校マスタ!$H8&lt;AB$3+7),AND(学校マスタ!$J8&lt;&gt;"",学校マスタ!$J8&gt;=AB$3,学校マスタ!$J8&lt;AB$3+7),AND(学校マスタ!$L8&lt;&gt;"",学校マスタ!$L8&gt;=AB$3,学校マスタ!$L8&lt;AB$3+7)),"◆",IF(AND(学校マスタ!$O8&lt;&gt;"",学校マスタ!$P8&lt;&gt;"",学校マスタ!$O8&lt;AB$3+7,学校マスタ!$P8&gt;=AB$3),"█",IF(AND(学校マスタ!$R8&lt;&gt;"",学校マスタ!$U8&lt;&gt;"",学校マスタ!$R8&lt;AB$3+7,学校マスタ!$U8&gt;=AB$3),"▒","")))))</f>
        <v/>
      </c>
    </row>
    <row r="11">
      <c r="A11" s="19">
        <f>IF(学校マスタ!$A9="","",学校マスタ!$A9)</f>
        <v/>
      </c>
      <c r="B11" s="19">
        <f>IF(学校マスタ!$A9="","",学校マスタ!$C9)</f>
        <v/>
      </c>
      <c r="C11" s="19">
        <f>IF(学校マスタ!$A9="","",学校マスタ!$X9)</f>
        <v/>
      </c>
      <c r="D11" s="25">
        <f>IF(学校マスタ!$A9="","",学校マスタ!$R9)</f>
        <v/>
      </c>
      <c r="E11" s="26">
        <f>IF(学校マスタ!$A9="","",IF(AND(学校マスタ!$U9&lt;&gt;"",学校マスタ!$U9&gt;=E$3,学校マスタ!$U9&lt;E$3+7),"◎",IF(OR(AND(学校マスタ!$H9&lt;&gt;"",学校マスタ!$H9&gt;=E$3,学校マスタ!$H9&lt;E$3+7),AND(学校マスタ!$J9&lt;&gt;"",学校マスタ!$J9&gt;=E$3,学校マスタ!$J9&lt;E$3+7),AND(学校マスタ!$L9&lt;&gt;"",学校マスタ!$L9&gt;=E$3,学校マスタ!$L9&lt;E$3+7)),"◆",IF(AND(学校マスタ!$O9&lt;&gt;"",学校マスタ!$P9&lt;&gt;"",学校マスタ!$O9&lt;E$3+7,学校マスタ!$P9&gt;=E$3),"█",IF(AND(学校マスタ!$R9&lt;&gt;"",学校マスタ!$U9&lt;&gt;"",学校マスタ!$R9&lt;E$3+7,学校マスタ!$U9&gt;=E$3),"▒","")))))</f>
        <v/>
      </c>
      <c r="F11" s="26">
        <f>IF(学校マスタ!$A9="","",IF(AND(学校マスタ!$U9&lt;&gt;"",学校マスタ!$U9&gt;=F$3,学校マスタ!$U9&lt;F$3+7),"◎",IF(OR(AND(学校マスタ!$H9&lt;&gt;"",学校マスタ!$H9&gt;=F$3,学校マスタ!$H9&lt;F$3+7),AND(学校マスタ!$J9&lt;&gt;"",学校マスタ!$J9&gt;=F$3,学校マスタ!$J9&lt;F$3+7),AND(学校マスタ!$L9&lt;&gt;"",学校マスタ!$L9&gt;=F$3,学校マスタ!$L9&lt;F$3+7)),"◆",IF(AND(学校マスタ!$O9&lt;&gt;"",学校マスタ!$P9&lt;&gt;"",学校マスタ!$O9&lt;F$3+7,学校マスタ!$P9&gt;=F$3),"█",IF(AND(学校マスタ!$R9&lt;&gt;"",学校マスタ!$U9&lt;&gt;"",学校マスタ!$R9&lt;F$3+7,学校マスタ!$U9&gt;=F$3),"▒","")))))</f>
        <v/>
      </c>
      <c r="G11" s="26">
        <f>IF(学校マスタ!$A9="","",IF(AND(学校マスタ!$U9&lt;&gt;"",学校マスタ!$U9&gt;=G$3,学校マスタ!$U9&lt;G$3+7),"◎",IF(OR(AND(学校マスタ!$H9&lt;&gt;"",学校マスタ!$H9&gt;=G$3,学校マスタ!$H9&lt;G$3+7),AND(学校マスタ!$J9&lt;&gt;"",学校マスタ!$J9&gt;=G$3,学校マスタ!$J9&lt;G$3+7),AND(学校マスタ!$L9&lt;&gt;"",学校マスタ!$L9&gt;=G$3,学校マスタ!$L9&lt;G$3+7)),"◆",IF(AND(学校マスタ!$O9&lt;&gt;"",学校マスタ!$P9&lt;&gt;"",学校マスタ!$O9&lt;G$3+7,学校マスタ!$P9&gt;=G$3),"█",IF(AND(学校マスタ!$R9&lt;&gt;"",学校マスタ!$U9&lt;&gt;"",学校マスタ!$R9&lt;G$3+7,学校マスタ!$U9&gt;=G$3),"▒","")))))</f>
        <v/>
      </c>
      <c r="H11" s="26">
        <f>IF(学校マスタ!$A9="","",IF(AND(学校マスタ!$U9&lt;&gt;"",学校マスタ!$U9&gt;=H$3,学校マスタ!$U9&lt;H$3+7),"◎",IF(OR(AND(学校マスタ!$H9&lt;&gt;"",学校マスタ!$H9&gt;=H$3,学校マスタ!$H9&lt;H$3+7),AND(学校マスタ!$J9&lt;&gt;"",学校マスタ!$J9&gt;=H$3,学校マスタ!$J9&lt;H$3+7),AND(学校マスタ!$L9&lt;&gt;"",学校マスタ!$L9&gt;=H$3,学校マスタ!$L9&lt;H$3+7)),"◆",IF(AND(学校マスタ!$O9&lt;&gt;"",学校マスタ!$P9&lt;&gt;"",学校マスタ!$O9&lt;H$3+7,学校マスタ!$P9&gt;=H$3),"█",IF(AND(学校マスタ!$R9&lt;&gt;"",学校マスタ!$U9&lt;&gt;"",学校マスタ!$R9&lt;H$3+7,学校マスタ!$U9&gt;=H$3),"▒","")))))</f>
        <v/>
      </c>
      <c r="I11" s="26">
        <f>IF(学校マスタ!$A9="","",IF(AND(学校マスタ!$U9&lt;&gt;"",学校マスタ!$U9&gt;=I$3,学校マスタ!$U9&lt;I$3+7),"◎",IF(OR(AND(学校マスタ!$H9&lt;&gt;"",学校マスタ!$H9&gt;=I$3,学校マスタ!$H9&lt;I$3+7),AND(学校マスタ!$J9&lt;&gt;"",学校マスタ!$J9&gt;=I$3,学校マスタ!$J9&lt;I$3+7),AND(学校マスタ!$L9&lt;&gt;"",学校マスタ!$L9&gt;=I$3,学校マスタ!$L9&lt;I$3+7)),"◆",IF(AND(学校マスタ!$O9&lt;&gt;"",学校マスタ!$P9&lt;&gt;"",学校マスタ!$O9&lt;I$3+7,学校マスタ!$P9&gt;=I$3),"█",IF(AND(学校マスタ!$R9&lt;&gt;"",学校マスタ!$U9&lt;&gt;"",学校マスタ!$R9&lt;I$3+7,学校マスタ!$U9&gt;=I$3),"▒","")))))</f>
        <v/>
      </c>
      <c r="J11" s="26">
        <f>IF(学校マスタ!$A9="","",IF(AND(学校マスタ!$U9&lt;&gt;"",学校マスタ!$U9&gt;=J$3,学校マスタ!$U9&lt;J$3+7),"◎",IF(OR(AND(学校マスタ!$H9&lt;&gt;"",学校マスタ!$H9&gt;=J$3,学校マスタ!$H9&lt;J$3+7),AND(学校マスタ!$J9&lt;&gt;"",学校マスタ!$J9&gt;=J$3,学校マスタ!$J9&lt;J$3+7),AND(学校マスタ!$L9&lt;&gt;"",学校マスタ!$L9&gt;=J$3,学校マスタ!$L9&lt;J$3+7)),"◆",IF(AND(学校マスタ!$O9&lt;&gt;"",学校マスタ!$P9&lt;&gt;"",学校マスタ!$O9&lt;J$3+7,学校マスタ!$P9&gt;=J$3),"█",IF(AND(学校マスタ!$R9&lt;&gt;"",学校マスタ!$U9&lt;&gt;"",学校マスタ!$R9&lt;J$3+7,学校マスタ!$U9&gt;=J$3),"▒","")))))</f>
        <v/>
      </c>
      <c r="K11" s="26">
        <f>IF(学校マスタ!$A9="","",IF(AND(学校マスタ!$U9&lt;&gt;"",学校マスタ!$U9&gt;=K$3,学校マスタ!$U9&lt;K$3+7),"◎",IF(OR(AND(学校マスタ!$H9&lt;&gt;"",学校マスタ!$H9&gt;=K$3,学校マスタ!$H9&lt;K$3+7),AND(学校マスタ!$J9&lt;&gt;"",学校マスタ!$J9&gt;=K$3,学校マスタ!$J9&lt;K$3+7),AND(学校マスタ!$L9&lt;&gt;"",学校マスタ!$L9&gt;=K$3,学校マスタ!$L9&lt;K$3+7)),"◆",IF(AND(学校マスタ!$O9&lt;&gt;"",学校マスタ!$P9&lt;&gt;"",学校マスタ!$O9&lt;K$3+7,学校マスタ!$P9&gt;=K$3),"█",IF(AND(学校マスタ!$R9&lt;&gt;"",学校マスタ!$U9&lt;&gt;"",学校マスタ!$R9&lt;K$3+7,学校マスタ!$U9&gt;=K$3),"▒","")))))</f>
        <v/>
      </c>
      <c r="L11" s="26">
        <f>IF(学校マスタ!$A9="","",IF(AND(学校マスタ!$U9&lt;&gt;"",学校マスタ!$U9&gt;=L$3,学校マスタ!$U9&lt;L$3+7),"◎",IF(OR(AND(学校マスタ!$H9&lt;&gt;"",学校マスタ!$H9&gt;=L$3,学校マスタ!$H9&lt;L$3+7),AND(学校マスタ!$J9&lt;&gt;"",学校マスタ!$J9&gt;=L$3,学校マスタ!$J9&lt;L$3+7),AND(学校マスタ!$L9&lt;&gt;"",学校マスタ!$L9&gt;=L$3,学校マスタ!$L9&lt;L$3+7)),"◆",IF(AND(学校マスタ!$O9&lt;&gt;"",学校マスタ!$P9&lt;&gt;"",学校マスタ!$O9&lt;L$3+7,学校マスタ!$P9&gt;=L$3),"█",IF(AND(学校マスタ!$R9&lt;&gt;"",学校マスタ!$U9&lt;&gt;"",学校マスタ!$R9&lt;L$3+7,学校マスタ!$U9&gt;=L$3),"▒","")))))</f>
        <v/>
      </c>
      <c r="M11" s="26">
        <f>IF(学校マスタ!$A9="","",IF(AND(学校マスタ!$U9&lt;&gt;"",学校マスタ!$U9&gt;=M$3,学校マスタ!$U9&lt;M$3+7),"◎",IF(OR(AND(学校マスタ!$H9&lt;&gt;"",学校マスタ!$H9&gt;=M$3,学校マスタ!$H9&lt;M$3+7),AND(学校マスタ!$J9&lt;&gt;"",学校マスタ!$J9&gt;=M$3,学校マスタ!$J9&lt;M$3+7),AND(学校マスタ!$L9&lt;&gt;"",学校マスタ!$L9&gt;=M$3,学校マスタ!$L9&lt;M$3+7)),"◆",IF(AND(学校マスタ!$O9&lt;&gt;"",学校マスタ!$P9&lt;&gt;"",学校マスタ!$O9&lt;M$3+7,学校マスタ!$P9&gt;=M$3),"█",IF(AND(学校マスタ!$R9&lt;&gt;"",学校マスタ!$U9&lt;&gt;"",学校マスタ!$R9&lt;M$3+7,学校マスタ!$U9&gt;=M$3),"▒","")))))</f>
        <v/>
      </c>
      <c r="N11" s="26">
        <f>IF(学校マスタ!$A9="","",IF(AND(学校マスタ!$U9&lt;&gt;"",学校マスタ!$U9&gt;=N$3,学校マスタ!$U9&lt;N$3+7),"◎",IF(OR(AND(学校マスタ!$H9&lt;&gt;"",学校マスタ!$H9&gt;=N$3,学校マスタ!$H9&lt;N$3+7),AND(学校マスタ!$J9&lt;&gt;"",学校マスタ!$J9&gt;=N$3,学校マスタ!$J9&lt;N$3+7),AND(学校マスタ!$L9&lt;&gt;"",学校マスタ!$L9&gt;=N$3,学校マスタ!$L9&lt;N$3+7)),"◆",IF(AND(学校マスタ!$O9&lt;&gt;"",学校マスタ!$P9&lt;&gt;"",学校マスタ!$O9&lt;N$3+7,学校マスタ!$P9&gt;=N$3),"█",IF(AND(学校マスタ!$R9&lt;&gt;"",学校マスタ!$U9&lt;&gt;"",学校マスタ!$R9&lt;N$3+7,学校マスタ!$U9&gt;=N$3),"▒","")))))</f>
        <v/>
      </c>
      <c r="O11" s="26">
        <f>IF(学校マスタ!$A9="","",IF(AND(学校マスタ!$U9&lt;&gt;"",学校マスタ!$U9&gt;=O$3,学校マスタ!$U9&lt;O$3+7),"◎",IF(OR(AND(学校マスタ!$H9&lt;&gt;"",学校マスタ!$H9&gt;=O$3,学校マスタ!$H9&lt;O$3+7),AND(学校マスタ!$J9&lt;&gt;"",学校マスタ!$J9&gt;=O$3,学校マスタ!$J9&lt;O$3+7),AND(学校マスタ!$L9&lt;&gt;"",学校マスタ!$L9&gt;=O$3,学校マスタ!$L9&lt;O$3+7)),"◆",IF(AND(学校マスタ!$O9&lt;&gt;"",学校マスタ!$P9&lt;&gt;"",学校マスタ!$O9&lt;O$3+7,学校マスタ!$P9&gt;=O$3),"█",IF(AND(学校マスタ!$R9&lt;&gt;"",学校マスタ!$U9&lt;&gt;"",学校マスタ!$R9&lt;O$3+7,学校マスタ!$U9&gt;=O$3),"▒","")))))</f>
        <v/>
      </c>
      <c r="P11" s="26">
        <f>IF(学校マスタ!$A9="","",IF(AND(学校マスタ!$U9&lt;&gt;"",学校マスタ!$U9&gt;=P$3,学校マスタ!$U9&lt;P$3+7),"◎",IF(OR(AND(学校マスタ!$H9&lt;&gt;"",学校マスタ!$H9&gt;=P$3,学校マスタ!$H9&lt;P$3+7),AND(学校マスタ!$J9&lt;&gt;"",学校マスタ!$J9&gt;=P$3,学校マスタ!$J9&lt;P$3+7),AND(学校マスタ!$L9&lt;&gt;"",学校マスタ!$L9&gt;=P$3,学校マスタ!$L9&lt;P$3+7)),"◆",IF(AND(学校マスタ!$O9&lt;&gt;"",学校マスタ!$P9&lt;&gt;"",学校マスタ!$O9&lt;P$3+7,学校マスタ!$P9&gt;=P$3),"█",IF(AND(学校マスタ!$R9&lt;&gt;"",学校マスタ!$U9&lt;&gt;"",学校マスタ!$R9&lt;P$3+7,学校マスタ!$U9&gt;=P$3),"▒","")))))</f>
        <v/>
      </c>
      <c r="Q11" s="26">
        <f>IF(学校マスタ!$A9="","",IF(AND(学校マスタ!$U9&lt;&gt;"",学校マスタ!$U9&gt;=Q$3,学校マスタ!$U9&lt;Q$3+7),"◎",IF(OR(AND(学校マスタ!$H9&lt;&gt;"",学校マスタ!$H9&gt;=Q$3,学校マスタ!$H9&lt;Q$3+7),AND(学校マスタ!$J9&lt;&gt;"",学校マスタ!$J9&gt;=Q$3,学校マスタ!$J9&lt;Q$3+7),AND(学校マスタ!$L9&lt;&gt;"",学校マスタ!$L9&gt;=Q$3,学校マスタ!$L9&lt;Q$3+7)),"◆",IF(AND(学校マスタ!$O9&lt;&gt;"",学校マスタ!$P9&lt;&gt;"",学校マスタ!$O9&lt;Q$3+7,学校マスタ!$P9&gt;=Q$3),"█",IF(AND(学校マスタ!$R9&lt;&gt;"",学校マスタ!$U9&lt;&gt;"",学校マスタ!$R9&lt;Q$3+7,学校マスタ!$U9&gt;=Q$3),"▒","")))))</f>
        <v/>
      </c>
      <c r="R11" s="26">
        <f>IF(学校マスタ!$A9="","",IF(AND(学校マスタ!$U9&lt;&gt;"",学校マスタ!$U9&gt;=R$3,学校マスタ!$U9&lt;R$3+7),"◎",IF(OR(AND(学校マスタ!$H9&lt;&gt;"",学校マスタ!$H9&gt;=R$3,学校マスタ!$H9&lt;R$3+7),AND(学校マスタ!$J9&lt;&gt;"",学校マスタ!$J9&gt;=R$3,学校マスタ!$J9&lt;R$3+7),AND(学校マスタ!$L9&lt;&gt;"",学校マスタ!$L9&gt;=R$3,学校マスタ!$L9&lt;R$3+7)),"◆",IF(AND(学校マスタ!$O9&lt;&gt;"",学校マスタ!$P9&lt;&gt;"",学校マスタ!$O9&lt;R$3+7,学校マスタ!$P9&gt;=R$3),"█",IF(AND(学校マスタ!$R9&lt;&gt;"",学校マスタ!$U9&lt;&gt;"",学校マスタ!$R9&lt;R$3+7,学校マスタ!$U9&gt;=R$3),"▒","")))))</f>
        <v/>
      </c>
      <c r="S11" s="26">
        <f>IF(学校マスタ!$A9="","",IF(AND(学校マスタ!$U9&lt;&gt;"",学校マスタ!$U9&gt;=S$3,学校マスタ!$U9&lt;S$3+7),"◎",IF(OR(AND(学校マスタ!$H9&lt;&gt;"",学校マスタ!$H9&gt;=S$3,学校マスタ!$H9&lt;S$3+7),AND(学校マスタ!$J9&lt;&gt;"",学校マスタ!$J9&gt;=S$3,学校マスタ!$J9&lt;S$3+7),AND(学校マスタ!$L9&lt;&gt;"",学校マスタ!$L9&gt;=S$3,学校マスタ!$L9&lt;S$3+7)),"◆",IF(AND(学校マスタ!$O9&lt;&gt;"",学校マスタ!$P9&lt;&gt;"",学校マスタ!$O9&lt;S$3+7,学校マスタ!$P9&gt;=S$3),"█",IF(AND(学校マスタ!$R9&lt;&gt;"",学校マスタ!$U9&lt;&gt;"",学校マスタ!$R9&lt;S$3+7,学校マスタ!$U9&gt;=S$3),"▒","")))))</f>
        <v/>
      </c>
      <c r="T11" s="26">
        <f>IF(学校マスタ!$A9="","",IF(AND(学校マスタ!$U9&lt;&gt;"",学校マスタ!$U9&gt;=T$3,学校マスタ!$U9&lt;T$3+7),"◎",IF(OR(AND(学校マスタ!$H9&lt;&gt;"",学校マスタ!$H9&gt;=T$3,学校マスタ!$H9&lt;T$3+7),AND(学校マスタ!$J9&lt;&gt;"",学校マスタ!$J9&gt;=T$3,学校マスタ!$J9&lt;T$3+7),AND(学校マスタ!$L9&lt;&gt;"",学校マスタ!$L9&gt;=T$3,学校マスタ!$L9&lt;T$3+7)),"◆",IF(AND(学校マスタ!$O9&lt;&gt;"",学校マスタ!$P9&lt;&gt;"",学校マスタ!$O9&lt;T$3+7,学校マスタ!$P9&gt;=T$3),"█",IF(AND(学校マスタ!$R9&lt;&gt;"",学校マスタ!$U9&lt;&gt;"",学校マスタ!$R9&lt;T$3+7,学校マスタ!$U9&gt;=T$3),"▒","")))))</f>
        <v/>
      </c>
      <c r="U11" s="26">
        <f>IF(学校マスタ!$A9="","",IF(AND(学校マスタ!$U9&lt;&gt;"",学校マスタ!$U9&gt;=U$3,学校マスタ!$U9&lt;U$3+7),"◎",IF(OR(AND(学校マスタ!$H9&lt;&gt;"",学校マスタ!$H9&gt;=U$3,学校マスタ!$H9&lt;U$3+7),AND(学校マスタ!$J9&lt;&gt;"",学校マスタ!$J9&gt;=U$3,学校マスタ!$J9&lt;U$3+7),AND(学校マスタ!$L9&lt;&gt;"",学校マスタ!$L9&gt;=U$3,学校マスタ!$L9&lt;U$3+7)),"◆",IF(AND(学校マスタ!$O9&lt;&gt;"",学校マスタ!$P9&lt;&gt;"",学校マスタ!$O9&lt;U$3+7,学校マスタ!$P9&gt;=U$3),"█",IF(AND(学校マスタ!$R9&lt;&gt;"",学校マスタ!$U9&lt;&gt;"",学校マスタ!$R9&lt;U$3+7,学校マスタ!$U9&gt;=U$3),"▒","")))))</f>
        <v/>
      </c>
      <c r="V11" s="26">
        <f>IF(学校マスタ!$A9="","",IF(AND(学校マスタ!$U9&lt;&gt;"",学校マスタ!$U9&gt;=V$3,学校マスタ!$U9&lt;V$3+7),"◎",IF(OR(AND(学校マスタ!$H9&lt;&gt;"",学校マスタ!$H9&gt;=V$3,学校マスタ!$H9&lt;V$3+7),AND(学校マスタ!$J9&lt;&gt;"",学校マスタ!$J9&gt;=V$3,学校マスタ!$J9&lt;V$3+7),AND(学校マスタ!$L9&lt;&gt;"",学校マスタ!$L9&gt;=V$3,学校マスタ!$L9&lt;V$3+7)),"◆",IF(AND(学校マスタ!$O9&lt;&gt;"",学校マスタ!$P9&lt;&gt;"",学校マスタ!$O9&lt;V$3+7,学校マスタ!$P9&gt;=V$3),"█",IF(AND(学校マスタ!$R9&lt;&gt;"",学校マスタ!$U9&lt;&gt;"",学校マスタ!$R9&lt;V$3+7,学校マスタ!$U9&gt;=V$3),"▒","")))))</f>
        <v/>
      </c>
      <c r="W11" s="26">
        <f>IF(学校マスタ!$A9="","",IF(AND(学校マスタ!$U9&lt;&gt;"",学校マスタ!$U9&gt;=W$3,学校マスタ!$U9&lt;W$3+7),"◎",IF(OR(AND(学校マスタ!$H9&lt;&gt;"",学校マスタ!$H9&gt;=W$3,学校マスタ!$H9&lt;W$3+7),AND(学校マスタ!$J9&lt;&gt;"",学校マスタ!$J9&gt;=W$3,学校マスタ!$J9&lt;W$3+7),AND(学校マスタ!$L9&lt;&gt;"",学校マスタ!$L9&gt;=W$3,学校マスタ!$L9&lt;W$3+7)),"◆",IF(AND(学校マスタ!$O9&lt;&gt;"",学校マスタ!$P9&lt;&gt;"",学校マスタ!$O9&lt;W$3+7,学校マスタ!$P9&gt;=W$3),"█",IF(AND(学校マスタ!$R9&lt;&gt;"",学校マスタ!$U9&lt;&gt;"",学校マスタ!$R9&lt;W$3+7,学校マスタ!$U9&gt;=W$3),"▒","")))))</f>
        <v/>
      </c>
      <c r="X11" s="26">
        <f>IF(学校マスタ!$A9="","",IF(AND(学校マスタ!$U9&lt;&gt;"",学校マスタ!$U9&gt;=X$3,学校マスタ!$U9&lt;X$3+7),"◎",IF(OR(AND(学校マスタ!$H9&lt;&gt;"",学校マスタ!$H9&gt;=X$3,学校マスタ!$H9&lt;X$3+7),AND(学校マスタ!$J9&lt;&gt;"",学校マスタ!$J9&gt;=X$3,学校マスタ!$J9&lt;X$3+7),AND(学校マスタ!$L9&lt;&gt;"",学校マスタ!$L9&gt;=X$3,学校マスタ!$L9&lt;X$3+7)),"◆",IF(AND(学校マスタ!$O9&lt;&gt;"",学校マスタ!$P9&lt;&gt;"",学校マスタ!$O9&lt;X$3+7,学校マスタ!$P9&gt;=X$3),"█",IF(AND(学校マスタ!$R9&lt;&gt;"",学校マスタ!$U9&lt;&gt;"",学校マスタ!$R9&lt;X$3+7,学校マスタ!$U9&gt;=X$3),"▒","")))))</f>
        <v/>
      </c>
      <c r="Y11" s="26">
        <f>IF(学校マスタ!$A9="","",IF(AND(学校マスタ!$U9&lt;&gt;"",学校マスタ!$U9&gt;=Y$3,学校マスタ!$U9&lt;Y$3+7),"◎",IF(OR(AND(学校マスタ!$H9&lt;&gt;"",学校マスタ!$H9&gt;=Y$3,学校マスタ!$H9&lt;Y$3+7),AND(学校マスタ!$J9&lt;&gt;"",学校マスタ!$J9&gt;=Y$3,学校マスタ!$J9&lt;Y$3+7),AND(学校マスタ!$L9&lt;&gt;"",学校マスタ!$L9&gt;=Y$3,学校マスタ!$L9&lt;Y$3+7)),"◆",IF(AND(学校マスタ!$O9&lt;&gt;"",学校マスタ!$P9&lt;&gt;"",学校マスタ!$O9&lt;Y$3+7,学校マスタ!$P9&gt;=Y$3),"█",IF(AND(学校マスタ!$R9&lt;&gt;"",学校マスタ!$U9&lt;&gt;"",学校マスタ!$R9&lt;Y$3+7,学校マスタ!$U9&gt;=Y$3),"▒","")))))</f>
        <v/>
      </c>
      <c r="Z11" s="26">
        <f>IF(学校マスタ!$A9="","",IF(AND(学校マスタ!$U9&lt;&gt;"",学校マスタ!$U9&gt;=Z$3,学校マスタ!$U9&lt;Z$3+7),"◎",IF(OR(AND(学校マスタ!$H9&lt;&gt;"",学校マスタ!$H9&gt;=Z$3,学校マスタ!$H9&lt;Z$3+7),AND(学校マスタ!$J9&lt;&gt;"",学校マスタ!$J9&gt;=Z$3,学校マスタ!$J9&lt;Z$3+7),AND(学校マスタ!$L9&lt;&gt;"",学校マスタ!$L9&gt;=Z$3,学校マスタ!$L9&lt;Z$3+7)),"◆",IF(AND(学校マスタ!$O9&lt;&gt;"",学校マスタ!$P9&lt;&gt;"",学校マスタ!$O9&lt;Z$3+7,学校マスタ!$P9&gt;=Z$3),"█",IF(AND(学校マスタ!$R9&lt;&gt;"",学校マスタ!$U9&lt;&gt;"",学校マスタ!$R9&lt;Z$3+7,学校マスタ!$U9&gt;=Z$3),"▒","")))))</f>
        <v/>
      </c>
      <c r="AA11" s="26">
        <f>IF(学校マスタ!$A9="","",IF(AND(学校マスタ!$U9&lt;&gt;"",学校マスタ!$U9&gt;=AA$3,学校マスタ!$U9&lt;AA$3+7),"◎",IF(OR(AND(学校マスタ!$H9&lt;&gt;"",学校マスタ!$H9&gt;=AA$3,学校マスタ!$H9&lt;AA$3+7),AND(学校マスタ!$J9&lt;&gt;"",学校マスタ!$J9&gt;=AA$3,学校マスタ!$J9&lt;AA$3+7),AND(学校マスタ!$L9&lt;&gt;"",学校マスタ!$L9&gt;=AA$3,学校マスタ!$L9&lt;AA$3+7)),"◆",IF(AND(学校マスタ!$O9&lt;&gt;"",学校マスタ!$P9&lt;&gt;"",学校マスタ!$O9&lt;AA$3+7,学校マスタ!$P9&gt;=AA$3),"█",IF(AND(学校マスタ!$R9&lt;&gt;"",学校マスタ!$U9&lt;&gt;"",学校マスタ!$R9&lt;AA$3+7,学校マスタ!$U9&gt;=AA$3),"▒","")))))</f>
        <v/>
      </c>
      <c r="AB11" s="26">
        <f>IF(学校マスタ!$A9="","",IF(AND(学校マスタ!$U9&lt;&gt;"",学校マスタ!$U9&gt;=AB$3,学校マスタ!$U9&lt;AB$3+7),"◎",IF(OR(AND(学校マスタ!$H9&lt;&gt;"",学校マスタ!$H9&gt;=AB$3,学校マスタ!$H9&lt;AB$3+7),AND(学校マスタ!$J9&lt;&gt;"",学校マスタ!$J9&gt;=AB$3,学校マスタ!$J9&lt;AB$3+7),AND(学校マスタ!$L9&lt;&gt;"",学校マスタ!$L9&gt;=AB$3,学校マスタ!$L9&lt;AB$3+7)),"◆",IF(AND(学校マスタ!$O9&lt;&gt;"",学校マスタ!$P9&lt;&gt;"",学校マスタ!$O9&lt;AB$3+7,学校マスタ!$P9&gt;=AB$3),"█",IF(AND(学校マスタ!$R9&lt;&gt;"",学校マスタ!$U9&lt;&gt;"",学校マスタ!$R9&lt;AB$3+7,学校マスタ!$U9&gt;=AB$3),"▒","")))))</f>
        <v/>
      </c>
    </row>
    <row r="12">
      <c r="A12" s="19">
        <f>IF(学校マスタ!$A10="","",学校マスタ!$A10)</f>
        <v/>
      </c>
      <c r="B12" s="19">
        <f>IF(学校マスタ!$A10="","",学校マスタ!$C10)</f>
        <v/>
      </c>
      <c r="C12" s="19">
        <f>IF(学校マスタ!$A10="","",学校マスタ!$X10)</f>
        <v/>
      </c>
      <c r="D12" s="25">
        <f>IF(学校マスタ!$A10="","",学校マスタ!$R10)</f>
        <v/>
      </c>
      <c r="E12" s="26">
        <f>IF(学校マスタ!$A10="","",IF(AND(学校マスタ!$U10&lt;&gt;"",学校マスタ!$U10&gt;=E$3,学校マスタ!$U10&lt;E$3+7),"◎",IF(OR(AND(学校マスタ!$H10&lt;&gt;"",学校マスタ!$H10&gt;=E$3,学校マスタ!$H10&lt;E$3+7),AND(学校マスタ!$J10&lt;&gt;"",学校マスタ!$J10&gt;=E$3,学校マスタ!$J10&lt;E$3+7),AND(学校マスタ!$L10&lt;&gt;"",学校マスタ!$L10&gt;=E$3,学校マスタ!$L10&lt;E$3+7)),"◆",IF(AND(学校マスタ!$O10&lt;&gt;"",学校マスタ!$P10&lt;&gt;"",学校マスタ!$O10&lt;E$3+7,学校マスタ!$P10&gt;=E$3),"█",IF(AND(学校マスタ!$R10&lt;&gt;"",学校マスタ!$U10&lt;&gt;"",学校マスタ!$R10&lt;E$3+7,学校マスタ!$U10&gt;=E$3),"▒","")))))</f>
        <v/>
      </c>
      <c r="F12" s="26">
        <f>IF(学校マスタ!$A10="","",IF(AND(学校マスタ!$U10&lt;&gt;"",学校マスタ!$U10&gt;=F$3,学校マスタ!$U10&lt;F$3+7),"◎",IF(OR(AND(学校マスタ!$H10&lt;&gt;"",学校マスタ!$H10&gt;=F$3,学校マスタ!$H10&lt;F$3+7),AND(学校マスタ!$J10&lt;&gt;"",学校マスタ!$J10&gt;=F$3,学校マスタ!$J10&lt;F$3+7),AND(学校マスタ!$L10&lt;&gt;"",学校マスタ!$L10&gt;=F$3,学校マスタ!$L10&lt;F$3+7)),"◆",IF(AND(学校マスタ!$O10&lt;&gt;"",学校マスタ!$P10&lt;&gt;"",学校マスタ!$O10&lt;F$3+7,学校マスタ!$P10&gt;=F$3),"█",IF(AND(学校マスタ!$R10&lt;&gt;"",学校マスタ!$U10&lt;&gt;"",学校マスタ!$R10&lt;F$3+7,学校マスタ!$U10&gt;=F$3),"▒","")))))</f>
        <v/>
      </c>
      <c r="G12" s="26">
        <f>IF(学校マスタ!$A10="","",IF(AND(学校マスタ!$U10&lt;&gt;"",学校マスタ!$U10&gt;=G$3,学校マスタ!$U10&lt;G$3+7),"◎",IF(OR(AND(学校マスタ!$H10&lt;&gt;"",学校マスタ!$H10&gt;=G$3,学校マスタ!$H10&lt;G$3+7),AND(学校マスタ!$J10&lt;&gt;"",学校マスタ!$J10&gt;=G$3,学校マスタ!$J10&lt;G$3+7),AND(学校マスタ!$L10&lt;&gt;"",学校マスタ!$L10&gt;=G$3,学校マスタ!$L10&lt;G$3+7)),"◆",IF(AND(学校マスタ!$O10&lt;&gt;"",学校マスタ!$P10&lt;&gt;"",学校マスタ!$O10&lt;G$3+7,学校マスタ!$P10&gt;=G$3),"█",IF(AND(学校マスタ!$R10&lt;&gt;"",学校マスタ!$U10&lt;&gt;"",学校マスタ!$R10&lt;G$3+7,学校マスタ!$U10&gt;=G$3),"▒","")))))</f>
        <v/>
      </c>
      <c r="H12" s="26">
        <f>IF(学校マスタ!$A10="","",IF(AND(学校マスタ!$U10&lt;&gt;"",学校マスタ!$U10&gt;=H$3,学校マスタ!$U10&lt;H$3+7),"◎",IF(OR(AND(学校マスタ!$H10&lt;&gt;"",学校マスタ!$H10&gt;=H$3,学校マスタ!$H10&lt;H$3+7),AND(学校マスタ!$J10&lt;&gt;"",学校マスタ!$J10&gt;=H$3,学校マスタ!$J10&lt;H$3+7),AND(学校マスタ!$L10&lt;&gt;"",学校マスタ!$L10&gt;=H$3,学校マスタ!$L10&lt;H$3+7)),"◆",IF(AND(学校マスタ!$O10&lt;&gt;"",学校マスタ!$P10&lt;&gt;"",学校マスタ!$O10&lt;H$3+7,学校マスタ!$P10&gt;=H$3),"█",IF(AND(学校マスタ!$R10&lt;&gt;"",学校マスタ!$U10&lt;&gt;"",学校マスタ!$R10&lt;H$3+7,学校マスタ!$U10&gt;=H$3),"▒","")))))</f>
        <v/>
      </c>
      <c r="I12" s="26">
        <f>IF(学校マスタ!$A10="","",IF(AND(学校マスタ!$U10&lt;&gt;"",学校マスタ!$U10&gt;=I$3,学校マスタ!$U10&lt;I$3+7),"◎",IF(OR(AND(学校マスタ!$H10&lt;&gt;"",学校マスタ!$H10&gt;=I$3,学校マスタ!$H10&lt;I$3+7),AND(学校マスタ!$J10&lt;&gt;"",学校マスタ!$J10&gt;=I$3,学校マスタ!$J10&lt;I$3+7),AND(学校マスタ!$L10&lt;&gt;"",学校マスタ!$L10&gt;=I$3,学校マスタ!$L10&lt;I$3+7)),"◆",IF(AND(学校マスタ!$O10&lt;&gt;"",学校マスタ!$P10&lt;&gt;"",学校マスタ!$O10&lt;I$3+7,学校マスタ!$P10&gt;=I$3),"█",IF(AND(学校マスタ!$R10&lt;&gt;"",学校マスタ!$U10&lt;&gt;"",学校マスタ!$R10&lt;I$3+7,学校マスタ!$U10&gt;=I$3),"▒","")))))</f>
        <v/>
      </c>
      <c r="J12" s="26">
        <f>IF(学校マスタ!$A10="","",IF(AND(学校マスタ!$U10&lt;&gt;"",学校マスタ!$U10&gt;=J$3,学校マスタ!$U10&lt;J$3+7),"◎",IF(OR(AND(学校マスタ!$H10&lt;&gt;"",学校マスタ!$H10&gt;=J$3,学校マスタ!$H10&lt;J$3+7),AND(学校マスタ!$J10&lt;&gt;"",学校マスタ!$J10&gt;=J$3,学校マスタ!$J10&lt;J$3+7),AND(学校マスタ!$L10&lt;&gt;"",学校マスタ!$L10&gt;=J$3,学校マスタ!$L10&lt;J$3+7)),"◆",IF(AND(学校マスタ!$O10&lt;&gt;"",学校マスタ!$P10&lt;&gt;"",学校マスタ!$O10&lt;J$3+7,学校マスタ!$P10&gt;=J$3),"█",IF(AND(学校マスタ!$R10&lt;&gt;"",学校マスタ!$U10&lt;&gt;"",学校マスタ!$R10&lt;J$3+7,学校マスタ!$U10&gt;=J$3),"▒","")))))</f>
        <v/>
      </c>
      <c r="K12" s="26">
        <f>IF(学校マスタ!$A10="","",IF(AND(学校マスタ!$U10&lt;&gt;"",学校マスタ!$U10&gt;=K$3,学校マスタ!$U10&lt;K$3+7),"◎",IF(OR(AND(学校マスタ!$H10&lt;&gt;"",学校マスタ!$H10&gt;=K$3,学校マスタ!$H10&lt;K$3+7),AND(学校マスタ!$J10&lt;&gt;"",学校マスタ!$J10&gt;=K$3,学校マスタ!$J10&lt;K$3+7),AND(学校マスタ!$L10&lt;&gt;"",学校マスタ!$L10&gt;=K$3,学校マスタ!$L10&lt;K$3+7)),"◆",IF(AND(学校マスタ!$O10&lt;&gt;"",学校マスタ!$P10&lt;&gt;"",学校マスタ!$O10&lt;K$3+7,学校マスタ!$P10&gt;=K$3),"█",IF(AND(学校マスタ!$R10&lt;&gt;"",学校マスタ!$U10&lt;&gt;"",学校マスタ!$R10&lt;K$3+7,学校マスタ!$U10&gt;=K$3),"▒","")))))</f>
        <v/>
      </c>
      <c r="L12" s="26">
        <f>IF(学校マスタ!$A10="","",IF(AND(学校マスタ!$U10&lt;&gt;"",学校マスタ!$U10&gt;=L$3,学校マスタ!$U10&lt;L$3+7),"◎",IF(OR(AND(学校マスタ!$H10&lt;&gt;"",学校マスタ!$H10&gt;=L$3,学校マスタ!$H10&lt;L$3+7),AND(学校マスタ!$J10&lt;&gt;"",学校マスタ!$J10&gt;=L$3,学校マスタ!$J10&lt;L$3+7),AND(学校マスタ!$L10&lt;&gt;"",学校マスタ!$L10&gt;=L$3,学校マスタ!$L10&lt;L$3+7)),"◆",IF(AND(学校マスタ!$O10&lt;&gt;"",学校マスタ!$P10&lt;&gt;"",学校マスタ!$O10&lt;L$3+7,学校マスタ!$P10&gt;=L$3),"█",IF(AND(学校マスタ!$R10&lt;&gt;"",学校マスタ!$U10&lt;&gt;"",学校マスタ!$R10&lt;L$3+7,学校マスタ!$U10&gt;=L$3),"▒","")))))</f>
        <v/>
      </c>
      <c r="M12" s="26">
        <f>IF(学校マスタ!$A10="","",IF(AND(学校マスタ!$U10&lt;&gt;"",学校マスタ!$U10&gt;=M$3,学校マスタ!$U10&lt;M$3+7),"◎",IF(OR(AND(学校マスタ!$H10&lt;&gt;"",学校マスタ!$H10&gt;=M$3,学校マスタ!$H10&lt;M$3+7),AND(学校マスタ!$J10&lt;&gt;"",学校マスタ!$J10&gt;=M$3,学校マスタ!$J10&lt;M$3+7),AND(学校マスタ!$L10&lt;&gt;"",学校マスタ!$L10&gt;=M$3,学校マスタ!$L10&lt;M$3+7)),"◆",IF(AND(学校マスタ!$O10&lt;&gt;"",学校マスタ!$P10&lt;&gt;"",学校マスタ!$O10&lt;M$3+7,学校マスタ!$P10&gt;=M$3),"█",IF(AND(学校マスタ!$R10&lt;&gt;"",学校マスタ!$U10&lt;&gt;"",学校マスタ!$R10&lt;M$3+7,学校マスタ!$U10&gt;=M$3),"▒","")))))</f>
        <v/>
      </c>
      <c r="N12" s="26">
        <f>IF(学校マスタ!$A10="","",IF(AND(学校マスタ!$U10&lt;&gt;"",学校マスタ!$U10&gt;=N$3,学校マスタ!$U10&lt;N$3+7),"◎",IF(OR(AND(学校マスタ!$H10&lt;&gt;"",学校マスタ!$H10&gt;=N$3,学校マスタ!$H10&lt;N$3+7),AND(学校マスタ!$J10&lt;&gt;"",学校マスタ!$J10&gt;=N$3,学校マスタ!$J10&lt;N$3+7),AND(学校マスタ!$L10&lt;&gt;"",学校マスタ!$L10&gt;=N$3,学校マスタ!$L10&lt;N$3+7)),"◆",IF(AND(学校マスタ!$O10&lt;&gt;"",学校マスタ!$P10&lt;&gt;"",学校マスタ!$O10&lt;N$3+7,学校マスタ!$P10&gt;=N$3),"█",IF(AND(学校マスタ!$R10&lt;&gt;"",学校マスタ!$U10&lt;&gt;"",学校マスタ!$R10&lt;N$3+7,学校マスタ!$U10&gt;=N$3),"▒","")))))</f>
        <v/>
      </c>
      <c r="O12" s="26">
        <f>IF(学校マスタ!$A10="","",IF(AND(学校マスタ!$U10&lt;&gt;"",学校マスタ!$U10&gt;=O$3,学校マスタ!$U10&lt;O$3+7),"◎",IF(OR(AND(学校マスタ!$H10&lt;&gt;"",学校マスタ!$H10&gt;=O$3,学校マスタ!$H10&lt;O$3+7),AND(学校マスタ!$J10&lt;&gt;"",学校マスタ!$J10&gt;=O$3,学校マスタ!$J10&lt;O$3+7),AND(学校マスタ!$L10&lt;&gt;"",学校マスタ!$L10&gt;=O$3,学校マスタ!$L10&lt;O$3+7)),"◆",IF(AND(学校マスタ!$O10&lt;&gt;"",学校マスタ!$P10&lt;&gt;"",学校マスタ!$O10&lt;O$3+7,学校マスタ!$P10&gt;=O$3),"█",IF(AND(学校マスタ!$R10&lt;&gt;"",学校マスタ!$U10&lt;&gt;"",学校マスタ!$R10&lt;O$3+7,学校マスタ!$U10&gt;=O$3),"▒","")))))</f>
        <v/>
      </c>
      <c r="P12" s="26">
        <f>IF(学校マスタ!$A10="","",IF(AND(学校マスタ!$U10&lt;&gt;"",学校マスタ!$U10&gt;=P$3,学校マスタ!$U10&lt;P$3+7),"◎",IF(OR(AND(学校マスタ!$H10&lt;&gt;"",学校マスタ!$H10&gt;=P$3,学校マスタ!$H10&lt;P$3+7),AND(学校マスタ!$J10&lt;&gt;"",学校マスタ!$J10&gt;=P$3,学校マスタ!$J10&lt;P$3+7),AND(学校マスタ!$L10&lt;&gt;"",学校マスタ!$L10&gt;=P$3,学校マスタ!$L10&lt;P$3+7)),"◆",IF(AND(学校マスタ!$O10&lt;&gt;"",学校マスタ!$P10&lt;&gt;"",学校マスタ!$O10&lt;P$3+7,学校マスタ!$P10&gt;=P$3),"█",IF(AND(学校マスタ!$R10&lt;&gt;"",学校マスタ!$U10&lt;&gt;"",学校マスタ!$R10&lt;P$3+7,学校マスタ!$U10&gt;=P$3),"▒","")))))</f>
        <v/>
      </c>
      <c r="Q12" s="26">
        <f>IF(学校マスタ!$A10="","",IF(AND(学校マスタ!$U10&lt;&gt;"",学校マスタ!$U10&gt;=Q$3,学校マスタ!$U10&lt;Q$3+7),"◎",IF(OR(AND(学校マスタ!$H10&lt;&gt;"",学校マスタ!$H10&gt;=Q$3,学校マスタ!$H10&lt;Q$3+7),AND(学校マスタ!$J10&lt;&gt;"",学校マスタ!$J10&gt;=Q$3,学校マスタ!$J10&lt;Q$3+7),AND(学校マスタ!$L10&lt;&gt;"",学校マスタ!$L10&gt;=Q$3,学校マスタ!$L10&lt;Q$3+7)),"◆",IF(AND(学校マスタ!$O10&lt;&gt;"",学校マスタ!$P10&lt;&gt;"",学校マスタ!$O10&lt;Q$3+7,学校マスタ!$P10&gt;=Q$3),"█",IF(AND(学校マスタ!$R10&lt;&gt;"",学校マスタ!$U10&lt;&gt;"",学校マスタ!$R10&lt;Q$3+7,学校マスタ!$U10&gt;=Q$3),"▒","")))))</f>
        <v/>
      </c>
      <c r="R12" s="26">
        <f>IF(学校マスタ!$A10="","",IF(AND(学校マスタ!$U10&lt;&gt;"",学校マスタ!$U10&gt;=R$3,学校マスタ!$U10&lt;R$3+7),"◎",IF(OR(AND(学校マスタ!$H10&lt;&gt;"",学校マスタ!$H10&gt;=R$3,学校マスタ!$H10&lt;R$3+7),AND(学校マスタ!$J10&lt;&gt;"",学校マスタ!$J10&gt;=R$3,学校マスタ!$J10&lt;R$3+7),AND(学校マスタ!$L10&lt;&gt;"",学校マスタ!$L10&gt;=R$3,学校マスタ!$L10&lt;R$3+7)),"◆",IF(AND(学校マスタ!$O10&lt;&gt;"",学校マスタ!$P10&lt;&gt;"",学校マスタ!$O10&lt;R$3+7,学校マスタ!$P10&gt;=R$3),"█",IF(AND(学校マスタ!$R10&lt;&gt;"",学校マスタ!$U10&lt;&gt;"",学校マスタ!$R10&lt;R$3+7,学校マスタ!$U10&gt;=R$3),"▒","")))))</f>
        <v/>
      </c>
      <c r="S12" s="26">
        <f>IF(学校マスタ!$A10="","",IF(AND(学校マスタ!$U10&lt;&gt;"",学校マスタ!$U10&gt;=S$3,学校マスタ!$U10&lt;S$3+7),"◎",IF(OR(AND(学校マスタ!$H10&lt;&gt;"",学校マスタ!$H10&gt;=S$3,学校マスタ!$H10&lt;S$3+7),AND(学校マスタ!$J10&lt;&gt;"",学校マスタ!$J10&gt;=S$3,学校マスタ!$J10&lt;S$3+7),AND(学校マスタ!$L10&lt;&gt;"",学校マスタ!$L10&gt;=S$3,学校マスタ!$L10&lt;S$3+7)),"◆",IF(AND(学校マスタ!$O10&lt;&gt;"",学校マスタ!$P10&lt;&gt;"",学校マスタ!$O10&lt;S$3+7,学校マスタ!$P10&gt;=S$3),"█",IF(AND(学校マスタ!$R10&lt;&gt;"",学校マスタ!$U10&lt;&gt;"",学校マスタ!$R10&lt;S$3+7,学校マスタ!$U10&gt;=S$3),"▒","")))))</f>
        <v/>
      </c>
      <c r="T12" s="26">
        <f>IF(学校マスタ!$A10="","",IF(AND(学校マスタ!$U10&lt;&gt;"",学校マスタ!$U10&gt;=T$3,学校マスタ!$U10&lt;T$3+7),"◎",IF(OR(AND(学校マスタ!$H10&lt;&gt;"",学校マスタ!$H10&gt;=T$3,学校マスタ!$H10&lt;T$3+7),AND(学校マスタ!$J10&lt;&gt;"",学校マスタ!$J10&gt;=T$3,学校マスタ!$J10&lt;T$3+7),AND(学校マスタ!$L10&lt;&gt;"",学校マスタ!$L10&gt;=T$3,学校マスタ!$L10&lt;T$3+7)),"◆",IF(AND(学校マスタ!$O10&lt;&gt;"",学校マスタ!$P10&lt;&gt;"",学校マスタ!$O10&lt;T$3+7,学校マスタ!$P10&gt;=T$3),"█",IF(AND(学校マスタ!$R10&lt;&gt;"",学校マスタ!$U10&lt;&gt;"",学校マスタ!$R10&lt;T$3+7,学校マスタ!$U10&gt;=T$3),"▒","")))))</f>
        <v/>
      </c>
      <c r="U12" s="26">
        <f>IF(学校マスタ!$A10="","",IF(AND(学校マスタ!$U10&lt;&gt;"",学校マスタ!$U10&gt;=U$3,学校マスタ!$U10&lt;U$3+7),"◎",IF(OR(AND(学校マスタ!$H10&lt;&gt;"",学校マスタ!$H10&gt;=U$3,学校マスタ!$H10&lt;U$3+7),AND(学校マスタ!$J10&lt;&gt;"",学校マスタ!$J10&gt;=U$3,学校マスタ!$J10&lt;U$3+7),AND(学校マスタ!$L10&lt;&gt;"",学校マスタ!$L10&gt;=U$3,学校マスタ!$L10&lt;U$3+7)),"◆",IF(AND(学校マスタ!$O10&lt;&gt;"",学校マスタ!$P10&lt;&gt;"",学校マスタ!$O10&lt;U$3+7,学校マスタ!$P10&gt;=U$3),"█",IF(AND(学校マスタ!$R10&lt;&gt;"",学校マスタ!$U10&lt;&gt;"",学校マスタ!$R10&lt;U$3+7,学校マスタ!$U10&gt;=U$3),"▒","")))))</f>
        <v/>
      </c>
      <c r="V12" s="26">
        <f>IF(学校マスタ!$A10="","",IF(AND(学校マスタ!$U10&lt;&gt;"",学校マスタ!$U10&gt;=V$3,学校マスタ!$U10&lt;V$3+7),"◎",IF(OR(AND(学校マスタ!$H10&lt;&gt;"",学校マスタ!$H10&gt;=V$3,学校マスタ!$H10&lt;V$3+7),AND(学校マスタ!$J10&lt;&gt;"",学校マスタ!$J10&gt;=V$3,学校マスタ!$J10&lt;V$3+7),AND(学校マスタ!$L10&lt;&gt;"",学校マスタ!$L10&gt;=V$3,学校マスタ!$L10&lt;V$3+7)),"◆",IF(AND(学校マスタ!$O10&lt;&gt;"",学校マスタ!$P10&lt;&gt;"",学校マスタ!$O10&lt;V$3+7,学校マスタ!$P10&gt;=V$3),"█",IF(AND(学校マスタ!$R10&lt;&gt;"",学校マスタ!$U10&lt;&gt;"",学校マスタ!$R10&lt;V$3+7,学校マスタ!$U10&gt;=V$3),"▒","")))))</f>
        <v/>
      </c>
      <c r="W12" s="26">
        <f>IF(学校マスタ!$A10="","",IF(AND(学校マスタ!$U10&lt;&gt;"",学校マスタ!$U10&gt;=W$3,学校マスタ!$U10&lt;W$3+7),"◎",IF(OR(AND(学校マスタ!$H10&lt;&gt;"",学校マスタ!$H10&gt;=W$3,学校マスタ!$H10&lt;W$3+7),AND(学校マスタ!$J10&lt;&gt;"",学校マスタ!$J10&gt;=W$3,学校マスタ!$J10&lt;W$3+7),AND(学校マスタ!$L10&lt;&gt;"",学校マスタ!$L10&gt;=W$3,学校マスタ!$L10&lt;W$3+7)),"◆",IF(AND(学校マスタ!$O10&lt;&gt;"",学校マスタ!$P10&lt;&gt;"",学校マスタ!$O10&lt;W$3+7,学校マスタ!$P10&gt;=W$3),"█",IF(AND(学校マスタ!$R10&lt;&gt;"",学校マスタ!$U10&lt;&gt;"",学校マスタ!$R10&lt;W$3+7,学校マスタ!$U10&gt;=W$3),"▒","")))))</f>
        <v/>
      </c>
      <c r="X12" s="26">
        <f>IF(学校マスタ!$A10="","",IF(AND(学校マスタ!$U10&lt;&gt;"",学校マスタ!$U10&gt;=X$3,学校マスタ!$U10&lt;X$3+7),"◎",IF(OR(AND(学校マスタ!$H10&lt;&gt;"",学校マスタ!$H10&gt;=X$3,学校マスタ!$H10&lt;X$3+7),AND(学校マスタ!$J10&lt;&gt;"",学校マスタ!$J10&gt;=X$3,学校マスタ!$J10&lt;X$3+7),AND(学校マスタ!$L10&lt;&gt;"",学校マスタ!$L10&gt;=X$3,学校マスタ!$L10&lt;X$3+7)),"◆",IF(AND(学校マスタ!$O10&lt;&gt;"",学校マスタ!$P10&lt;&gt;"",学校マスタ!$O10&lt;X$3+7,学校マスタ!$P10&gt;=X$3),"█",IF(AND(学校マスタ!$R10&lt;&gt;"",学校マスタ!$U10&lt;&gt;"",学校マスタ!$R10&lt;X$3+7,学校マスタ!$U10&gt;=X$3),"▒","")))))</f>
        <v/>
      </c>
      <c r="Y12" s="26">
        <f>IF(学校マスタ!$A10="","",IF(AND(学校マスタ!$U10&lt;&gt;"",学校マスタ!$U10&gt;=Y$3,学校マスタ!$U10&lt;Y$3+7),"◎",IF(OR(AND(学校マスタ!$H10&lt;&gt;"",学校マスタ!$H10&gt;=Y$3,学校マスタ!$H10&lt;Y$3+7),AND(学校マスタ!$J10&lt;&gt;"",学校マスタ!$J10&gt;=Y$3,学校マスタ!$J10&lt;Y$3+7),AND(学校マスタ!$L10&lt;&gt;"",学校マスタ!$L10&gt;=Y$3,学校マスタ!$L10&lt;Y$3+7)),"◆",IF(AND(学校マスタ!$O10&lt;&gt;"",学校マスタ!$P10&lt;&gt;"",学校マスタ!$O10&lt;Y$3+7,学校マスタ!$P10&gt;=Y$3),"█",IF(AND(学校マスタ!$R10&lt;&gt;"",学校マスタ!$U10&lt;&gt;"",学校マスタ!$R10&lt;Y$3+7,学校マスタ!$U10&gt;=Y$3),"▒","")))))</f>
        <v/>
      </c>
      <c r="Z12" s="26">
        <f>IF(学校マスタ!$A10="","",IF(AND(学校マスタ!$U10&lt;&gt;"",学校マスタ!$U10&gt;=Z$3,学校マスタ!$U10&lt;Z$3+7),"◎",IF(OR(AND(学校マスタ!$H10&lt;&gt;"",学校マスタ!$H10&gt;=Z$3,学校マスタ!$H10&lt;Z$3+7),AND(学校マスタ!$J10&lt;&gt;"",学校マスタ!$J10&gt;=Z$3,学校マスタ!$J10&lt;Z$3+7),AND(学校マスタ!$L10&lt;&gt;"",学校マスタ!$L10&gt;=Z$3,学校マスタ!$L10&lt;Z$3+7)),"◆",IF(AND(学校マスタ!$O10&lt;&gt;"",学校マスタ!$P10&lt;&gt;"",学校マスタ!$O10&lt;Z$3+7,学校マスタ!$P10&gt;=Z$3),"█",IF(AND(学校マスタ!$R10&lt;&gt;"",学校マスタ!$U10&lt;&gt;"",学校マスタ!$R10&lt;Z$3+7,学校マスタ!$U10&gt;=Z$3),"▒","")))))</f>
        <v/>
      </c>
      <c r="AA12" s="26">
        <f>IF(学校マスタ!$A10="","",IF(AND(学校マスタ!$U10&lt;&gt;"",学校マスタ!$U10&gt;=AA$3,学校マスタ!$U10&lt;AA$3+7),"◎",IF(OR(AND(学校マスタ!$H10&lt;&gt;"",学校マスタ!$H10&gt;=AA$3,学校マスタ!$H10&lt;AA$3+7),AND(学校マスタ!$J10&lt;&gt;"",学校マスタ!$J10&gt;=AA$3,学校マスタ!$J10&lt;AA$3+7),AND(学校マスタ!$L10&lt;&gt;"",学校マスタ!$L10&gt;=AA$3,学校マスタ!$L10&lt;AA$3+7)),"◆",IF(AND(学校マスタ!$O10&lt;&gt;"",学校マスタ!$P10&lt;&gt;"",学校マスタ!$O10&lt;AA$3+7,学校マスタ!$P10&gt;=AA$3),"█",IF(AND(学校マスタ!$R10&lt;&gt;"",学校マスタ!$U10&lt;&gt;"",学校マスタ!$R10&lt;AA$3+7,学校マスタ!$U10&gt;=AA$3),"▒","")))))</f>
        <v/>
      </c>
      <c r="AB12" s="26">
        <f>IF(学校マスタ!$A10="","",IF(AND(学校マスタ!$U10&lt;&gt;"",学校マスタ!$U10&gt;=AB$3,学校マスタ!$U10&lt;AB$3+7),"◎",IF(OR(AND(学校マスタ!$H10&lt;&gt;"",学校マスタ!$H10&gt;=AB$3,学校マスタ!$H10&lt;AB$3+7),AND(学校マスタ!$J10&lt;&gt;"",学校マスタ!$J10&gt;=AB$3,学校マスタ!$J10&lt;AB$3+7),AND(学校マスタ!$L10&lt;&gt;"",学校マスタ!$L10&gt;=AB$3,学校マスタ!$L10&lt;AB$3+7)),"◆",IF(AND(学校マスタ!$O10&lt;&gt;"",学校マスタ!$P10&lt;&gt;"",学校マスタ!$O10&lt;AB$3+7,学校マスタ!$P10&gt;=AB$3),"█",IF(AND(学校マスタ!$R10&lt;&gt;"",学校マスタ!$U10&lt;&gt;"",学校マスタ!$R10&lt;AB$3+7,学校マスタ!$U10&gt;=AB$3),"▒","")))))</f>
        <v/>
      </c>
    </row>
    <row r="13">
      <c r="A13" s="19">
        <f>IF(学校マスタ!$A11="","",学校マスタ!$A11)</f>
        <v/>
      </c>
      <c r="B13" s="19">
        <f>IF(学校マスタ!$A11="","",学校マスタ!$C11)</f>
        <v/>
      </c>
      <c r="C13" s="19">
        <f>IF(学校マスタ!$A11="","",学校マスタ!$X11)</f>
        <v/>
      </c>
      <c r="D13" s="25">
        <f>IF(学校マスタ!$A11="","",学校マスタ!$R11)</f>
        <v/>
      </c>
      <c r="E13" s="26">
        <f>IF(学校マスタ!$A11="","",IF(AND(学校マスタ!$U11&lt;&gt;"",学校マスタ!$U11&gt;=E$3,学校マスタ!$U11&lt;E$3+7),"◎",IF(OR(AND(学校マスタ!$H11&lt;&gt;"",学校マスタ!$H11&gt;=E$3,学校マスタ!$H11&lt;E$3+7),AND(学校マスタ!$J11&lt;&gt;"",学校マスタ!$J11&gt;=E$3,学校マスタ!$J11&lt;E$3+7),AND(学校マスタ!$L11&lt;&gt;"",学校マスタ!$L11&gt;=E$3,学校マスタ!$L11&lt;E$3+7)),"◆",IF(AND(学校マスタ!$O11&lt;&gt;"",学校マスタ!$P11&lt;&gt;"",学校マスタ!$O11&lt;E$3+7,学校マスタ!$P11&gt;=E$3),"█",IF(AND(学校マスタ!$R11&lt;&gt;"",学校マスタ!$U11&lt;&gt;"",学校マスタ!$R11&lt;E$3+7,学校マスタ!$U11&gt;=E$3),"▒","")))))</f>
        <v/>
      </c>
      <c r="F13" s="26">
        <f>IF(学校マスタ!$A11="","",IF(AND(学校マスタ!$U11&lt;&gt;"",学校マスタ!$U11&gt;=F$3,学校マスタ!$U11&lt;F$3+7),"◎",IF(OR(AND(学校マスタ!$H11&lt;&gt;"",学校マスタ!$H11&gt;=F$3,学校マスタ!$H11&lt;F$3+7),AND(学校マスタ!$J11&lt;&gt;"",学校マスタ!$J11&gt;=F$3,学校マスタ!$J11&lt;F$3+7),AND(学校マスタ!$L11&lt;&gt;"",学校マスタ!$L11&gt;=F$3,学校マスタ!$L11&lt;F$3+7)),"◆",IF(AND(学校マスタ!$O11&lt;&gt;"",学校マスタ!$P11&lt;&gt;"",学校マスタ!$O11&lt;F$3+7,学校マスタ!$P11&gt;=F$3),"█",IF(AND(学校マスタ!$R11&lt;&gt;"",学校マスタ!$U11&lt;&gt;"",学校マスタ!$R11&lt;F$3+7,学校マスタ!$U11&gt;=F$3),"▒","")))))</f>
        <v/>
      </c>
      <c r="G13" s="26">
        <f>IF(学校マスタ!$A11="","",IF(AND(学校マスタ!$U11&lt;&gt;"",学校マスタ!$U11&gt;=G$3,学校マスタ!$U11&lt;G$3+7),"◎",IF(OR(AND(学校マスタ!$H11&lt;&gt;"",学校マスタ!$H11&gt;=G$3,学校マスタ!$H11&lt;G$3+7),AND(学校マスタ!$J11&lt;&gt;"",学校マスタ!$J11&gt;=G$3,学校マスタ!$J11&lt;G$3+7),AND(学校マスタ!$L11&lt;&gt;"",学校マスタ!$L11&gt;=G$3,学校マスタ!$L11&lt;G$3+7)),"◆",IF(AND(学校マスタ!$O11&lt;&gt;"",学校マスタ!$P11&lt;&gt;"",学校マスタ!$O11&lt;G$3+7,学校マスタ!$P11&gt;=G$3),"█",IF(AND(学校マスタ!$R11&lt;&gt;"",学校マスタ!$U11&lt;&gt;"",学校マスタ!$R11&lt;G$3+7,学校マスタ!$U11&gt;=G$3),"▒","")))))</f>
        <v/>
      </c>
      <c r="H13" s="26">
        <f>IF(学校マスタ!$A11="","",IF(AND(学校マスタ!$U11&lt;&gt;"",学校マスタ!$U11&gt;=H$3,学校マスタ!$U11&lt;H$3+7),"◎",IF(OR(AND(学校マスタ!$H11&lt;&gt;"",学校マスタ!$H11&gt;=H$3,学校マスタ!$H11&lt;H$3+7),AND(学校マスタ!$J11&lt;&gt;"",学校マスタ!$J11&gt;=H$3,学校マスタ!$J11&lt;H$3+7),AND(学校マスタ!$L11&lt;&gt;"",学校マスタ!$L11&gt;=H$3,学校マスタ!$L11&lt;H$3+7)),"◆",IF(AND(学校マスタ!$O11&lt;&gt;"",学校マスタ!$P11&lt;&gt;"",学校マスタ!$O11&lt;H$3+7,学校マスタ!$P11&gt;=H$3),"█",IF(AND(学校マスタ!$R11&lt;&gt;"",学校マスタ!$U11&lt;&gt;"",学校マスタ!$R11&lt;H$3+7,学校マスタ!$U11&gt;=H$3),"▒","")))))</f>
        <v/>
      </c>
      <c r="I13" s="26">
        <f>IF(学校マスタ!$A11="","",IF(AND(学校マスタ!$U11&lt;&gt;"",学校マスタ!$U11&gt;=I$3,学校マスタ!$U11&lt;I$3+7),"◎",IF(OR(AND(学校マスタ!$H11&lt;&gt;"",学校マスタ!$H11&gt;=I$3,学校マスタ!$H11&lt;I$3+7),AND(学校マスタ!$J11&lt;&gt;"",学校マスタ!$J11&gt;=I$3,学校マスタ!$J11&lt;I$3+7),AND(学校マスタ!$L11&lt;&gt;"",学校マスタ!$L11&gt;=I$3,学校マスタ!$L11&lt;I$3+7)),"◆",IF(AND(学校マスタ!$O11&lt;&gt;"",学校マスタ!$P11&lt;&gt;"",学校マスタ!$O11&lt;I$3+7,学校マスタ!$P11&gt;=I$3),"█",IF(AND(学校マスタ!$R11&lt;&gt;"",学校マスタ!$U11&lt;&gt;"",学校マスタ!$R11&lt;I$3+7,学校マスタ!$U11&gt;=I$3),"▒","")))))</f>
        <v/>
      </c>
      <c r="J13" s="26">
        <f>IF(学校マスタ!$A11="","",IF(AND(学校マスタ!$U11&lt;&gt;"",学校マスタ!$U11&gt;=J$3,学校マスタ!$U11&lt;J$3+7),"◎",IF(OR(AND(学校マスタ!$H11&lt;&gt;"",学校マスタ!$H11&gt;=J$3,学校マスタ!$H11&lt;J$3+7),AND(学校マスタ!$J11&lt;&gt;"",学校マスタ!$J11&gt;=J$3,学校マスタ!$J11&lt;J$3+7),AND(学校マスタ!$L11&lt;&gt;"",学校マスタ!$L11&gt;=J$3,学校マスタ!$L11&lt;J$3+7)),"◆",IF(AND(学校マスタ!$O11&lt;&gt;"",学校マスタ!$P11&lt;&gt;"",学校マスタ!$O11&lt;J$3+7,学校マスタ!$P11&gt;=J$3),"█",IF(AND(学校マスタ!$R11&lt;&gt;"",学校マスタ!$U11&lt;&gt;"",学校マスタ!$R11&lt;J$3+7,学校マスタ!$U11&gt;=J$3),"▒","")))))</f>
        <v/>
      </c>
      <c r="K13" s="26">
        <f>IF(学校マスタ!$A11="","",IF(AND(学校マスタ!$U11&lt;&gt;"",学校マスタ!$U11&gt;=K$3,学校マスタ!$U11&lt;K$3+7),"◎",IF(OR(AND(学校マスタ!$H11&lt;&gt;"",学校マスタ!$H11&gt;=K$3,学校マスタ!$H11&lt;K$3+7),AND(学校マスタ!$J11&lt;&gt;"",学校マスタ!$J11&gt;=K$3,学校マスタ!$J11&lt;K$3+7),AND(学校マスタ!$L11&lt;&gt;"",学校マスタ!$L11&gt;=K$3,学校マスタ!$L11&lt;K$3+7)),"◆",IF(AND(学校マスタ!$O11&lt;&gt;"",学校マスタ!$P11&lt;&gt;"",学校マスタ!$O11&lt;K$3+7,学校マスタ!$P11&gt;=K$3),"█",IF(AND(学校マスタ!$R11&lt;&gt;"",学校マスタ!$U11&lt;&gt;"",学校マスタ!$R11&lt;K$3+7,学校マスタ!$U11&gt;=K$3),"▒","")))))</f>
        <v/>
      </c>
      <c r="L13" s="26">
        <f>IF(学校マスタ!$A11="","",IF(AND(学校マスタ!$U11&lt;&gt;"",学校マスタ!$U11&gt;=L$3,学校マスタ!$U11&lt;L$3+7),"◎",IF(OR(AND(学校マスタ!$H11&lt;&gt;"",学校マスタ!$H11&gt;=L$3,学校マスタ!$H11&lt;L$3+7),AND(学校マスタ!$J11&lt;&gt;"",学校マスタ!$J11&gt;=L$3,学校マスタ!$J11&lt;L$3+7),AND(学校マスタ!$L11&lt;&gt;"",学校マスタ!$L11&gt;=L$3,学校マスタ!$L11&lt;L$3+7)),"◆",IF(AND(学校マスタ!$O11&lt;&gt;"",学校マスタ!$P11&lt;&gt;"",学校マスタ!$O11&lt;L$3+7,学校マスタ!$P11&gt;=L$3),"█",IF(AND(学校マスタ!$R11&lt;&gt;"",学校マスタ!$U11&lt;&gt;"",学校マスタ!$R11&lt;L$3+7,学校マスタ!$U11&gt;=L$3),"▒","")))))</f>
        <v/>
      </c>
      <c r="M13" s="26">
        <f>IF(学校マスタ!$A11="","",IF(AND(学校マスタ!$U11&lt;&gt;"",学校マスタ!$U11&gt;=M$3,学校マスタ!$U11&lt;M$3+7),"◎",IF(OR(AND(学校マスタ!$H11&lt;&gt;"",学校マスタ!$H11&gt;=M$3,学校マスタ!$H11&lt;M$3+7),AND(学校マスタ!$J11&lt;&gt;"",学校マスタ!$J11&gt;=M$3,学校マスタ!$J11&lt;M$3+7),AND(学校マスタ!$L11&lt;&gt;"",学校マスタ!$L11&gt;=M$3,学校マスタ!$L11&lt;M$3+7)),"◆",IF(AND(学校マスタ!$O11&lt;&gt;"",学校マスタ!$P11&lt;&gt;"",学校マスタ!$O11&lt;M$3+7,学校マスタ!$P11&gt;=M$3),"█",IF(AND(学校マスタ!$R11&lt;&gt;"",学校マスタ!$U11&lt;&gt;"",学校マスタ!$R11&lt;M$3+7,学校マスタ!$U11&gt;=M$3),"▒","")))))</f>
        <v/>
      </c>
      <c r="N13" s="26">
        <f>IF(学校マスタ!$A11="","",IF(AND(学校マスタ!$U11&lt;&gt;"",学校マスタ!$U11&gt;=N$3,学校マスタ!$U11&lt;N$3+7),"◎",IF(OR(AND(学校マスタ!$H11&lt;&gt;"",学校マスタ!$H11&gt;=N$3,学校マスタ!$H11&lt;N$3+7),AND(学校マスタ!$J11&lt;&gt;"",学校マスタ!$J11&gt;=N$3,学校マスタ!$J11&lt;N$3+7),AND(学校マスタ!$L11&lt;&gt;"",学校マスタ!$L11&gt;=N$3,学校マスタ!$L11&lt;N$3+7)),"◆",IF(AND(学校マスタ!$O11&lt;&gt;"",学校マスタ!$P11&lt;&gt;"",学校マスタ!$O11&lt;N$3+7,学校マスタ!$P11&gt;=N$3),"█",IF(AND(学校マスタ!$R11&lt;&gt;"",学校マスタ!$U11&lt;&gt;"",学校マスタ!$R11&lt;N$3+7,学校マスタ!$U11&gt;=N$3),"▒","")))))</f>
        <v/>
      </c>
      <c r="O13" s="26">
        <f>IF(学校マスタ!$A11="","",IF(AND(学校マスタ!$U11&lt;&gt;"",学校マスタ!$U11&gt;=O$3,学校マスタ!$U11&lt;O$3+7),"◎",IF(OR(AND(学校マスタ!$H11&lt;&gt;"",学校マスタ!$H11&gt;=O$3,学校マスタ!$H11&lt;O$3+7),AND(学校マスタ!$J11&lt;&gt;"",学校マスタ!$J11&gt;=O$3,学校マスタ!$J11&lt;O$3+7),AND(学校マスタ!$L11&lt;&gt;"",学校マスタ!$L11&gt;=O$3,学校マスタ!$L11&lt;O$3+7)),"◆",IF(AND(学校マスタ!$O11&lt;&gt;"",学校マスタ!$P11&lt;&gt;"",学校マスタ!$O11&lt;O$3+7,学校マスタ!$P11&gt;=O$3),"█",IF(AND(学校マスタ!$R11&lt;&gt;"",学校マスタ!$U11&lt;&gt;"",学校マスタ!$R11&lt;O$3+7,学校マスタ!$U11&gt;=O$3),"▒","")))))</f>
        <v/>
      </c>
      <c r="P13" s="26">
        <f>IF(学校マスタ!$A11="","",IF(AND(学校マスタ!$U11&lt;&gt;"",学校マスタ!$U11&gt;=P$3,学校マスタ!$U11&lt;P$3+7),"◎",IF(OR(AND(学校マスタ!$H11&lt;&gt;"",学校マスタ!$H11&gt;=P$3,学校マスタ!$H11&lt;P$3+7),AND(学校マスタ!$J11&lt;&gt;"",学校マスタ!$J11&gt;=P$3,学校マスタ!$J11&lt;P$3+7),AND(学校マスタ!$L11&lt;&gt;"",学校マスタ!$L11&gt;=P$3,学校マスタ!$L11&lt;P$3+7)),"◆",IF(AND(学校マスタ!$O11&lt;&gt;"",学校マスタ!$P11&lt;&gt;"",学校マスタ!$O11&lt;P$3+7,学校マスタ!$P11&gt;=P$3),"█",IF(AND(学校マスタ!$R11&lt;&gt;"",学校マスタ!$U11&lt;&gt;"",学校マスタ!$R11&lt;P$3+7,学校マスタ!$U11&gt;=P$3),"▒","")))))</f>
        <v/>
      </c>
      <c r="Q13" s="26">
        <f>IF(学校マスタ!$A11="","",IF(AND(学校マスタ!$U11&lt;&gt;"",学校マスタ!$U11&gt;=Q$3,学校マスタ!$U11&lt;Q$3+7),"◎",IF(OR(AND(学校マスタ!$H11&lt;&gt;"",学校マスタ!$H11&gt;=Q$3,学校マスタ!$H11&lt;Q$3+7),AND(学校マスタ!$J11&lt;&gt;"",学校マスタ!$J11&gt;=Q$3,学校マスタ!$J11&lt;Q$3+7),AND(学校マスタ!$L11&lt;&gt;"",学校マスタ!$L11&gt;=Q$3,学校マスタ!$L11&lt;Q$3+7)),"◆",IF(AND(学校マスタ!$O11&lt;&gt;"",学校マスタ!$P11&lt;&gt;"",学校マスタ!$O11&lt;Q$3+7,学校マスタ!$P11&gt;=Q$3),"█",IF(AND(学校マスタ!$R11&lt;&gt;"",学校マスタ!$U11&lt;&gt;"",学校マスタ!$R11&lt;Q$3+7,学校マスタ!$U11&gt;=Q$3),"▒","")))))</f>
        <v/>
      </c>
      <c r="R13" s="26">
        <f>IF(学校マスタ!$A11="","",IF(AND(学校マスタ!$U11&lt;&gt;"",学校マスタ!$U11&gt;=R$3,学校マスタ!$U11&lt;R$3+7),"◎",IF(OR(AND(学校マスタ!$H11&lt;&gt;"",学校マスタ!$H11&gt;=R$3,学校マスタ!$H11&lt;R$3+7),AND(学校マスタ!$J11&lt;&gt;"",学校マスタ!$J11&gt;=R$3,学校マスタ!$J11&lt;R$3+7),AND(学校マスタ!$L11&lt;&gt;"",学校マスタ!$L11&gt;=R$3,学校マスタ!$L11&lt;R$3+7)),"◆",IF(AND(学校マスタ!$O11&lt;&gt;"",学校マスタ!$P11&lt;&gt;"",学校マスタ!$O11&lt;R$3+7,学校マスタ!$P11&gt;=R$3),"█",IF(AND(学校マスタ!$R11&lt;&gt;"",学校マスタ!$U11&lt;&gt;"",学校マスタ!$R11&lt;R$3+7,学校マスタ!$U11&gt;=R$3),"▒","")))))</f>
        <v/>
      </c>
      <c r="S13" s="26">
        <f>IF(学校マスタ!$A11="","",IF(AND(学校マスタ!$U11&lt;&gt;"",学校マスタ!$U11&gt;=S$3,学校マスタ!$U11&lt;S$3+7),"◎",IF(OR(AND(学校マスタ!$H11&lt;&gt;"",学校マスタ!$H11&gt;=S$3,学校マスタ!$H11&lt;S$3+7),AND(学校マスタ!$J11&lt;&gt;"",学校マスタ!$J11&gt;=S$3,学校マスタ!$J11&lt;S$3+7),AND(学校マスタ!$L11&lt;&gt;"",学校マスタ!$L11&gt;=S$3,学校マスタ!$L11&lt;S$3+7)),"◆",IF(AND(学校マスタ!$O11&lt;&gt;"",学校マスタ!$P11&lt;&gt;"",学校マスタ!$O11&lt;S$3+7,学校マスタ!$P11&gt;=S$3),"█",IF(AND(学校マスタ!$R11&lt;&gt;"",学校マスタ!$U11&lt;&gt;"",学校マスタ!$R11&lt;S$3+7,学校マスタ!$U11&gt;=S$3),"▒","")))))</f>
        <v/>
      </c>
      <c r="T13" s="26">
        <f>IF(学校マスタ!$A11="","",IF(AND(学校マスタ!$U11&lt;&gt;"",学校マスタ!$U11&gt;=T$3,学校マスタ!$U11&lt;T$3+7),"◎",IF(OR(AND(学校マスタ!$H11&lt;&gt;"",学校マスタ!$H11&gt;=T$3,学校マスタ!$H11&lt;T$3+7),AND(学校マスタ!$J11&lt;&gt;"",学校マスタ!$J11&gt;=T$3,学校マスタ!$J11&lt;T$3+7),AND(学校マスタ!$L11&lt;&gt;"",学校マスタ!$L11&gt;=T$3,学校マスタ!$L11&lt;T$3+7)),"◆",IF(AND(学校マスタ!$O11&lt;&gt;"",学校マスタ!$P11&lt;&gt;"",学校マスタ!$O11&lt;T$3+7,学校マスタ!$P11&gt;=T$3),"█",IF(AND(学校マスタ!$R11&lt;&gt;"",学校マスタ!$U11&lt;&gt;"",学校マスタ!$R11&lt;T$3+7,学校マスタ!$U11&gt;=T$3),"▒","")))))</f>
        <v/>
      </c>
      <c r="U13" s="26">
        <f>IF(学校マスタ!$A11="","",IF(AND(学校マスタ!$U11&lt;&gt;"",学校マスタ!$U11&gt;=U$3,学校マスタ!$U11&lt;U$3+7),"◎",IF(OR(AND(学校マスタ!$H11&lt;&gt;"",学校マスタ!$H11&gt;=U$3,学校マスタ!$H11&lt;U$3+7),AND(学校マスタ!$J11&lt;&gt;"",学校マスタ!$J11&gt;=U$3,学校マスタ!$J11&lt;U$3+7),AND(学校マスタ!$L11&lt;&gt;"",学校マスタ!$L11&gt;=U$3,学校マスタ!$L11&lt;U$3+7)),"◆",IF(AND(学校マスタ!$O11&lt;&gt;"",学校マスタ!$P11&lt;&gt;"",学校マスタ!$O11&lt;U$3+7,学校マスタ!$P11&gt;=U$3),"█",IF(AND(学校マスタ!$R11&lt;&gt;"",学校マスタ!$U11&lt;&gt;"",学校マスタ!$R11&lt;U$3+7,学校マスタ!$U11&gt;=U$3),"▒","")))))</f>
        <v/>
      </c>
      <c r="V13" s="26">
        <f>IF(学校マスタ!$A11="","",IF(AND(学校マスタ!$U11&lt;&gt;"",学校マスタ!$U11&gt;=V$3,学校マスタ!$U11&lt;V$3+7),"◎",IF(OR(AND(学校マスタ!$H11&lt;&gt;"",学校マスタ!$H11&gt;=V$3,学校マスタ!$H11&lt;V$3+7),AND(学校マスタ!$J11&lt;&gt;"",学校マスタ!$J11&gt;=V$3,学校マスタ!$J11&lt;V$3+7),AND(学校マスタ!$L11&lt;&gt;"",学校マスタ!$L11&gt;=V$3,学校マスタ!$L11&lt;V$3+7)),"◆",IF(AND(学校マスタ!$O11&lt;&gt;"",学校マスタ!$P11&lt;&gt;"",学校マスタ!$O11&lt;V$3+7,学校マスタ!$P11&gt;=V$3),"█",IF(AND(学校マスタ!$R11&lt;&gt;"",学校マスタ!$U11&lt;&gt;"",学校マスタ!$R11&lt;V$3+7,学校マスタ!$U11&gt;=V$3),"▒","")))))</f>
        <v/>
      </c>
      <c r="W13" s="26">
        <f>IF(学校マスタ!$A11="","",IF(AND(学校マスタ!$U11&lt;&gt;"",学校マスタ!$U11&gt;=W$3,学校マスタ!$U11&lt;W$3+7),"◎",IF(OR(AND(学校マスタ!$H11&lt;&gt;"",学校マスタ!$H11&gt;=W$3,学校マスタ!$H11&lt;W$3+7),AND(学校マスタ!$J11&lt;&gt;"",学校マスタ!$J11&gt;=W$3,学校マスタ!$J11&lt;W$3+7),AND(学校マスタ!$L11&lt;&gt;"",学校マスタ!$L11&gt;=W$3,学校マスタ!$L11&lt;W$3+7)),"◆",IF(AND(学校マスタ!$O11&lt;&gt;"",学校マスタ!$P11&lt;&gt;"",学校マスタ!$O11&lt;W$3+7,学校マスタ!$P11&gt;=W$3),"█",IF(AND(学校マスタ!$R11&lt;&gt;"",学校マスタ!$U11&lt;&gt;"",学校マスタ!$R11&lt;W$3+7,学校マスタ!$U11&gt;=W$3),"▒","")))))</f>
        <v/>
      </c>
      <c r="X13" s="26">
        <f>IF(学校マスタ!$A11="","",IF(AND(学校マスタ!$U11&lt;&gt;"",学校マスタ!$U11&gt;=X$3,学校マスタ!$U11&lt;X$3+7),"◎",IF(OR(AND(学校マスタ!$H11&lt;&gt;"",学校マスタ!$H11&gt;=X$3,学校マスタ!$H11&lt;X$3+7),AND(学校マスタ!$J11&lt;&gt;"",学校マスタ!$J11&gt;=X$3,学校マスタ!$J11&lt;X$3+7),AND(学校マスタ!$L11&lt;&gt;"",学校マスタ!$L11&gt;=X$3,学校マスタ!$L11&lt;X$3+7)),"◆",IF(AND(学校マスタ!$O11&lt;&gt;"",学校マスタ!$P11&lt;&gt;"",学校マスタ!$O11&lt;X$3+7,学校マスタ!$P11&gt;=X$3),"█",IF(AND(学校マスタ!$R11&lt;&gt;"",学校マスタ!$U11&lt;&gt;"",学校マスタ!$R11&lt;X$3+7,学校マスタ!$U11&gt;=X$3),"▒","")))))</f>
        <v/>
      </c>
      <c r="Y13" s="26">
        <f>IF(学校マスタ!$A11="","",IF(AND(学校マスタ!$U11&lt;&gt;"",学校マスタ!$U11&gt;=Y$3,学校マスタ!$U11&lt;Y$3+7),"◎",IF(OR(AND(学校マスタ!$H11&lt;&gt;"",学校マスタ!$H11&gt;=Y$3,学校マスタ!$H11&lt;Y$3+7),AND(学校マスタ!$J11&lt;&gt;"",学校マスタ!$J11&gt;=Y$3,学校マスタ!$J11&lt;Y$3+7),AND(学校マスタ!$L11&lt;&gt;"",学校マスタ!$L11&gt;=Y$3,学校マスタ!$L11&lt;Y$3+7)),"◆",IF(AND(学校マスタ!$O11&lt;&gt;"",学校マスタ!$P11&lt;&gt;"",学校マスタ!$O11&lt;Y$3+7,学校マスタ!$P11&gt;=Y$3),"█",IF(AND(学校マスタ!$R11&lt;&gt;"",学校マスタ!$U11&lt;&gt;"",学校マスタ!$R11&lt;Y$3+7,学校マスタ!$U11&gt;=Y$3),"▒","")))))</f>
        <v/>
      </c>
      <c r="Z13" s="26">
        <f>IF(学校マスタ!$A11="","",IF(AND(学校マスタ!$U11&lt;&gt;"",学校マスタ!$U11&gt;=Z$3,学校マスタ!$U11&lt;Z$3+7),"◎",IF(OR(AND(学校マスタ!$H11&lt;&gt;"",学校マスタ!$H11&gt;=Z$3,学校マスタ!$H11&lt;Z$3+7),AND(学校マスタ!$J11&lt;&gt;"",学校マスタ!$J11&gt;=Z$3,学校マスタ!$J11&lt;Z$3+7),AND(学校マスタ!$L11&lt;&gt;"",学校マスタ!$L11&gt;=Z$3,学校マスタ!$L11&lt;Z$3+7)),"◆",IF(AND(学校マスタ!$O11&lt;&gt;"",学校マスタ!$P11&lt;&gt;"",学校マスタ!$O11&lt;Z$3+7,学校マスタ!$P11&gt;=Z$3),"█",IF(AND(学校マスタ!$R11&lt;&gt;"",学校マスタ!$U11&lt;&gt;"",学校マスタ!$R11&lt;Z$3+7,学校マスタ!$U11&gt;=Z$3),"▒","")))))</f>
        <v/>
      </c>
      <c r="AA13" s="26">
        <f>IF(学校マスタ!$A11="","",IF(AND(学校マスタ!$U11&lt;&gt;"",学校マスタ!$U11&gt;=AA$3,学校マスタ!$U11&lt;AA$3+7),"◎",IF(OR(AND(学校マスタ!$H11&lt;&gt;"",学校マスタ!$H11&gt;=AA$3,学校マスタ!$H11&lt;AA$3+7),AND(学校マスタ!$J11&lt;&gt;"",学校マスタ!$J11&gt;=AA$3,学校マスタ!$J11&lt;AA$3+7),AND(学校マスタ!$L11&lt;&gt;"",学校マスタ!$L11&gt;=AA$3,学校マスタ!$L11&lt;AA$3+7)),"◆",IF(AND(学校マスタ!$O11&lt;&gt;"",学校マスタ!$P11&lt;&gt;"",学校マスタ!$O11&lt;AA$3+7,学校マスタ!$P11&gt;=AA$3),"█",IF(AND(学校マスタ!$R11&lt;&gt;"",学校マスタ!$U11&lt;&gt;"",学校マスタ!$R11&lt;AA$3+7,学校マスタ!$U11&gt;=AA$3),"▒","")))))</f>
        <v/>
      </c>
      <c r="AB13" s="26">
        <f>IF(学校マスタ!$A11="","",IF(AND(学校マスタ!$U11&lt;&gt;"",学校マスタ!$U11&gt;=AB$3,学校マスタ!$U11&lt;AB$3+7),"◎",IF(OR(AND(学校マスタ!$H11&lt;&gt;"",学校マスタ!$H11&gt;=AB$3,学校マスタ!$H11&lt;AB$3+7),AND(学校マスタ!$J11&lt;&gt;"",学校マスタ!$J11&gt;=AB$3,学校マスタ!$J11&lt;AB$3+7),AND(学校マスタ!$L11&lt;&gt;"",学校マスタ!$L11&gt;=AB$3,学校マスタ!$L11&lt;AB$3+7)),"◆",IF(AND(学校マスタ!$O11&lt;&gt;"",学校マスタ!$P11&lt;&gt;"",学校マスタ!$O11&lt;AB$3+7,学校マスタ!$P11&gt;=AB$3),"█",IF(AND(学校マスタ!$R11&lt;&gt;"",学校マスタ!$U11&lt;&gt;"",学校マスタ!$R11&lt;AB$3+7,学校マスタ!$U11&gt;=AB$3),"▒","")))))</f>
        <v/>
      </c>
    </row>
    <row r="14">
      <c r="A14" s="19">
        <f>IF(学校マスタ!$A12="","",学校マスタ!$A12)</f>
        <v/>
      </c>
      <c r="B14" s="19">
        <f>IF(学校マスタ!$A12="","",学校マスタ!$C12)</f>
        <v/>
      </c>
      <c r="C14" s="19">
        <f>IF(学校マスタ!$A12="","",学校マスタ!$X12)</f>
        <v/>
      </c>
      <c r="D14" s="25">
        <f>IF(学校マスタ!$A12="","",学校マスタ!$R12)</f>
        <v/>
      </c>
      <c r="E14" s="26">
        <f>IF(学校マスタ!$A12="","",IF(AND(学校マスタ!$U12&lt;&gt;"",学校マスタ!$U12&gt;=E$3,学校マスタ!$U12&lt;E$3+7),"◎",IF(OR(AND(学校マスタ!$H12&lt;&gt;"",学校マスタ!$H12&gt;=E$3,学校マスタ!$H12&lt;E$3+7),AND(学校マスタ!$J12&lt;&gt;"",学校マスタ!$J12&gt;=E$3,学校マスタ!$J12&lt;E$3+7),AND(学校マスタ!$L12&lt;&gt;"",学校マスタ!$L12&gt;=E$3,学校マスタ!$L12&lt;E$3+7)),"◆",IF(AND(学校マスタ!$O12&lt;&gt;"",学校マスタ!$P12&lt;&gt;"",学校マスタ!$O12&lt;E$3+7,学校マスタ!$P12&gt;=E$3),"█",IF(AND(学校マスタ!$R12&lt;&gt;"",学校マスタ!$U12&lt;&gt;"",学校マスタ!$R12&lt;E$3+7,学校マスタ!$U12&gt;=E$3),"▒","")))))</f>
        <v/>
      </c>
      <c r="F14" s="26">
        <f>IF(学校マスタ!$A12="","",IF(AND(学校マスタ!$U12&lt;&gt;"",学校マスタ!$U12&gt;=F$3,学校マスタ!$U12&lt;F$3+7),"◎",IF(OR(AND(学校マスタ!$H12&lt;&gt;"",学校マスタ!$H12&gt;=F$3,学校マスタ!$H12&lt;F$3+7),AND(学校マスタ!$J12&lt;&gt;"",学校マスタ!$J12&gt;=F$3,学校マスタ!$J12&lt;F$3+7),AND(学校マスタ!$L12&lt;&gt;"",学校マスタ!$L12&gt;=F$3,学校マスタ!$L12&lt;F$3+7)),"◆",IF(AND(学校マスタ!$O12&lt;&gt;"",学校マスタ!$P12&lt;&gt;"",学校マスタ!$O12&lt;F$3+7,学校マスタ!$P12&gt;=F$3),"█",IF(AND(学校マスタ!$R12&lt;&gt;"",学校マスタ!$U12&lt;&gt;"",学校マスタ!$R12&lt;F$3+7,学校マスタ!$U12&gt;=F$3),"▒","")))))</f>
        <v/>
      </c>
      <c r="G14" s="26">
        <f>IF(学校マスタ!$A12="","",IF(AND(学校マスタ!$U12&lt;&gt;"",学校マスタ!$U12&gt;=G$3,学校マスタ!$U12&lt;G$3+7),"◎",IF(OR(AND(学校マスタ!$H12&lt;&gt;"",学校マスタ!$H12&gt;=G$3,学校マスタ!$H12&lt;G$3+7),AND(学校マスタ!$J12&lt;&gt;"",学校マスタ!$J12&gt;=G$3,学校マスタ!$J12&lt;G$3+7),AND(学校マスタ!$L12&lt;&gt;"",学校マスタ!$L12&gt;=G$3,学校マスタ!$L12&lt;G$3+7)),"◆",IF(AND(学校マスタ!$O12&lt;&gt;"",学校マスタ!$P12&lt;&gt;"",学校マスタ!$O12&lt;G$3+7,学校マスタ!$P12&gt;=G$3),"█",IF(AND(学校マスタ!$R12&lt;&gt;"",学校マスタ!$U12&lt;&gt;"",学校マスタ!$R12&lt;G$3+7,学校マスタ!$U12&gt;=G$3),"▒","")))))</f>
        <v/>
      </c>
      <c r="H14" s="26">
        <f>IF(学校マスタ!$A12="","",IF(AND(学校マスタ!$U12&lt;&gt;"",学校マスタ!$U12&gt;=H$3,学校マスタ!$U12&lt;H$3+7),"◎",IF(OR(AND(学校マスタ!$H12&lt;&gt;"",学校マスタ!$H12&gt;=H$3,学校マスタ!$H12&lt;H$3+7),AND(学校マスタ!$J12&lt;&gt;"",学校マスタ!$J12&gt;=H$3,学校マスタ!$J12&lt;H$3+7),AND(学校マスタ!$L12&lt;&gt;"",学校マスタ!$L12&gt;=H$3,学校マスタ!$L12&lt;H$3+7)),"◆",IF(AND(学校マスタ!$O12&lt;&gt;"",学校マスタ!$P12&lt;&gt;"",学校マスタ!$O12&lt;H$3+7,学校マスタ!$P12&gt;=H$3),"█",IF(AND(学校マスタ!$R12&lt;&gt;"",学校マスタ!$U12&lt;&gt;"",学校マスタ!$R12&lt;H$3+7,学校マスタ!$U12&gt;=H$3),"▒","")))))</f>
        <v/>
      </c>
      <c r="I14" s="26">
        <f>IF(学校マスタ!$A12="","",IF(AND(学校マスタ!$U12&lt;&gt;"",学校マスタ!$U12&gt;=I$3,学校マスタ!$U12&lt;I$3+7),"◎",IF(OR(AND(学校マスタ!$H12&lt;&gt;"",学校マスタ!$H12&gt;=I$3,学校マスタ!$H12&lt;I$3+7),AND(学校マスタ!$J12&lt;&gt;"",学校マスタ!$J12&gt;=I$3,学校マスタ!$J12&lt;I$3+7),AND(学校マスタ!$L12&lt;&gt;"",学校マスタ!$L12&gt;=I$3,学校マスタ!$L12&lt;I$3+7)),"◆",IF(AND(学校マスタ!$O12&lt;&gt;"",学校マスタ!$P12&lt;&gt;"",学校マスタ!$O12&lt;I$3+7,学校マスタ!$P12&gt;=I$3),"█",IF(AND(学校マスタ!$R12&lt;&gt;"",学校マスタ!$U12&lt;&gt;"",学校マスタ!$R12&lt;I$3+7,学校マスタ!$U12&gt;=I$3),"▒","")))))</f>
        <v/>
      </c>
      <c r="J14" s="26">
        <f>IF(学校マスタ!$A12="","",IF(AND(学校マスタ!$U12&lt;&gt;"",学校マスタ!$U12&gt;=J$3,学校マスタ!$U12&lt;J$3+7),"◎",IF(OR(AND(学校マスタ!$H12&lt;&gt;"",学校マスタ!$H12&gt;=J$3,学校マスタ!$H12&lt;J$3+7),AND(学校マスタ!$J12&lt;&gt;"",学校マスタ!$J12&gt;=J$3,学校マスタ!$J12&lt;J$3+7),AND(学校マスタ!$L12&lt;&gt;"",学校マスタ!$L12&gt;=J$3,学校マスタ!$L12&lt;J$3+7)),"◆",IF(AND(学校マスタ!$O12&lt;&gt;"",学校マスタ!$P12&lt;&gt;"",学校マスタ!$O12&lt;J$3+7,学校マスタ!$P12&gt;=J$3),"█",IF(AND(学校マスタ!$R12&lt;&gt;"",学校マスタ!$U12&lt;&gt;"",学校マスタ!$R12&lt;J$3+7,学校マスタ!$U12&gt;=J$3),"▒","")))))</f>
        <v/>
      </c>
      <c r="K14" s="26">
        <f>IF(学校マスタ!$A12="","",IF(AND(学校マスタ!$U12&lt;&gt;"",学校マスタ!$U12&gt;=K$3,学校マスタ!$U12&lt;K$3+7),"◎",IF(OR(AND(学校マスタ!$H12&lt;&gt;"",学校マスタ!$H12&gt;=K$3,学校マスタ!$H12&lt;K$3+7),AND(学校マスタ!$J12&lt;&gt;"",学校マスタ!$J12&gt;=K$3,学校マスタ!$J12&lt;K$3+7),AND(学校マスタ!$L12&lt;&gt;"",学校マスタ!$L12&gt;=K$3,学校マスタ!$L12&lt;K$3+7)),"◆",IF(AND(学校マスタ!$O12&lt;&gt;"",学校マスタ!$P12&lt;&gt;"",学校マスタ!$O12&lt;K$3+7,学校マスタ!$P12&gt;=K$3),"█",IF(AND(学校マスタ!$R12&lt;&gt;"",学校マスタ!$U12&lt;&gt;"",学校マスタ!$R12&lt;K$3+7,学校マスタ!$U12&gt;=K$3),"▒","")))))</f>
        <v/>
      </c>
      <c r="L14" s="26">
        <f>IF(学校マスタ!$A12="","",IF(AND(学校マスタ!$U12&lt;&gt;"",学校マスタ!$U12&gt;=L$3,学校マスタ!$U12&lt;L$3+7),"◎",IF(OR(AND(学校マスタ!$H12&lt;&gt;"",学校マスタ!$H12&gt;=L$3,学校マスタ!$H12&lt;L$3+7),AND(学校マスタ!$J12&lt;&gt;"",学校マスタ!$J12&gt;=L$3,学校マスタ!$J12&lt;L$3+7),AND(学校マスタ!$L12&lt;&gt;"",学校マスタ!$L12&gt;=L$3,学校マスタ!$L12&lt;L$3+7)),"◆",IF(AND(学校マスタ!$O12&lt;&gt;"",学校マスタ!$P12&lt;&gt;"",学校マスタ!$O12&lt;L$3+7,学校マスタ!$P12&gt;=L$3),"█",IF(AND(学校マスタ!$R12&lt;&gt;"",学校マスタ!$U12&lt;&gt;"",学校マスタ!$R12&lt;L$3+7,学校マスタ!$U12&gt;=L$3),"▒","")))))</f>
        <v/>
      </c>
      <c r="M14" s="26">
        <f>IF(学校マスタ!$A12="","",IF(AND(学校マスタ!$U12&lt;&gt;"",学校マスタ!$U12&gt;=M$3,学校マスタ!$U12&lt;M$3+7),"◎",IF(OR(AND(学校マスタ!$H12&lt;&gt;"",学校マスタ!$H12&gt;=M$3,学校マスタ!$H12&lt;M$3+7),AND(学校マスタ!$J12&lt;&gt;"",学校マスタ!$J12&gt;=M$3,学校マスタ!$J12&lt;M$3+7),AND(学校マスタ!$L12&lt;&gt;"",学校マスタ!$L12&gt;=M$3,学校マスタ!$L12&lt;M$3+7)),"◆",IF(AND(学校マスタ!$O12&lt;&gt;"",学校マスタ!$P12&lt;&gt;"",学校マスタ!$O12&lt;M$3+7,学校マスタ!$P12&gt;=M$3),"█",IF(AND(学校マスタ!$R12&lt;&gt;"",学校マスタ!$U12&lt;&gt;"",学校マスタ!$R12&lt;M$3+7,学校マスタ!$U12&gt;=M$3),"▒","")))))</f>
        <v/>
      </c>
      <c r="N14" s="26">
        <f>IF(学校マスタ!$A12="","",IF(AND(学校マスタ!$U12&lt;&gt;"",学校マスタ!$U12&gt;=N$3,学校マスタ!$U12&lt;N$3+7),"◎",IF(OR(AND(学校マスタ!$H12&lt;&gt;"",学校マスタ!$H12&gt;=N$3,学校マスタ!$H12&lt;N$3+7),AND(学校マスタ!$J12&lt;&gt;"",学校マスタ!$J12&gt;=N$3,学校マスタ!$J12&lt;N$3+7),AND(学校マスタ!$L12&lt;&gt;"",学校マスタ!$L12&gt;=N$3,学校マスタ!$L12&lt;N$3+7)),"◆",IF(AND(学校マスタ!$O12&lt;&gt;"",学校マスタ!$P12&lt;&gt;"",学校マスタ!$O12&lt;N$3+7,学校マスタ!$P12&gt;=N$3),"█",IF(AND(学校マスタ!$R12&lt;&gt;"",学校マスタ!$U12&lt;&gt;"",学校マスタ!$R12&lt;N$3+7,学校マスタ!$U12&gt;=N$3),"▒","")))))</f>
        <v/>
      </c>
      <c r="O14" s="26">
        <f>IF(学校マスタ!$A12="","",IF(AND(学校マスタ!$U12&lt;&gt;"",学校マスタ!$U12&gt;=O$3,学校マスタ!$U12&lt;O$3+7),"◎",IF(OR(AND(学校マスタ!$H12&lt;&gt;"",学校マスタ!$H12&gt;=O$3,学校マスタ!$H12&lt;O$3+7),AND(学校マスタ!$J12&lt;&gt;"",学校マスタ!$J12&gt;=O$3,学校マスタ!$J12&lt;O$3+7),AND(学校マスタ!$L12&lt;&gt;"",学校マスタ!$L12&gt;=O$3,学校マスタ!$L12&lt;O$3+7)),"◆",IF(AND(学校マスタ!$O12&lt;&gt;"",学校マスタ!$P12&lt;&gt;"",学校マスタ!$O12&lt;O$3+7,学校マスタ!$P12&gt;=O$3),"█",IF(AND(学校マスタ!$R12&lt;&gt;"",学校マスタ!$U12&lt;&gt;"",学校マスタ!$R12&lt;O$3+7,学校マスタ!$U12&gt;=O$3),"▒","")))))</f>
        <v/>
      </c>
      <c r="P14" s="26">
        <f>IF(学校マスタ!$A12="","",IF(AND(学校マスタ!$U12&lt;&gt;"",学校マスタ!$U12&gt;=P$3,学校マスタ!$U12&lt;P$3+7),"◎",IF(OR(AND(学校マスタ!$H12&lt;&gt;"",学校マスタ!$H12&gt;=P$3,学校マスタ!$H12&lt;P$3+7),AND(学校マスタ!$J12&lt;&gt;"",学校マスタ!$J12&gt;=P$3,学校マスタ!$J12&lt;P$3+7),AND(学校マスタ!$L12&lt;&gt;"",学校マスタ!$L12&gt;=P$3,学校マスタ!$L12&lt;P$3+7)),"◆",IF(AND(学校マスタ!$O12&lt;&gt;"",学校マスタ!$P12&lt;&gt;"",学校マスタ!$O12&lt;P$3+7,学校マスタ!$P12&gt;=P$3),"█",IF(AND(学校マスタ!$R12&lt;&gt;"",学校マスタ!$U12&lt;&gt;"",学校マスタ!$R12&lt;P$3+7,学校マスタ!$U12&gt;=P$3),"▒","")))))</f>
        <v/>
      </c>
      <c r="Q14" s="26">
        <f>IF(学校マスタ!$A12="","",IF(AND(学校マスタ!$U12&lt;&gt;"",学校マスタ!$U12&gt;=Q$3,学校マスタ!$U12&lt;Q$3+7),"◎",IF(OR(AND(学校マスタ!$H12&lt;&gt;"",学校マスタ!$H12&gt;=Q$3,学校マスタ!$H12&lt;Q$3+7),AND(学校マスタ!$J12&lt;&gt;"",学校マスタ!$J12&gt;=Q$3,学校マスタ!$J12&lt;Q$3+7),AND(学校マスタ!$L12&lt;&gt;"",学校マスタ!$L12&gt;=Q$3,学校マスタ!$L12&lt;Q$3+7)),"◆",IF(AND(学校マスタ!$O12&lt;&gt;"",学校マスタ!$P12&lt;&gt;"",学校マスタ!$O12&lt;Q$3+7,学校マスタ!$P12&gt;=Q$3),"█",IF(AND(学校マスタ!$R12&lt;&gt;"",学校マスタ!$U12&lt;&gt;"",学校マスタ!$R12&lt;Q$3+7,学校マスタ!$U12&gt;=Q$3),"▒","")))))</f>
        <v/>
      </c>
      <c r="R14" s="26">
        <f>IF(学校マスタ!$A12="","",IF(AND(学校マスタ!$U12&lt;&gt;"",学校マスタ!$U12&gt;=R$3,学校マスタ!$U12&lt;R$3+7),"◎",IF(OR(AND(学校マスタ!$H12&lt;&gt;"",学校マスタ!$H12&gt;=R$3,学校マスタ!$H12&lt;R$3+7),AND(学校マスタ!$J12&lt;&gt;"",学校マスタ!$J12&gt;=R$3,学校マスタ!$J12&lt;R$3+7),AND(学校マスタ!$L12&lt;&gt;"",学校マスタ!$L12&gt;=R$3,学校マスタ!$L12&lt;R$3+7)),"◆",IF(AND(学校マスタ!$O12&lt;&gt;"",学校マスタ!$P12&lt;&gt;"",学校マスタ!$O12&lt;R$3+7,学校マスタ!$P12&gt;=R$3),"█",IF(AND(学校マスタ!$R12&lt;&gt;"",学校マスタ!$U12&lt;&gt;"",学校マスタ!$R12&lt;R$3+7,学校マスタ!$U12&gt;=R$3),"▒","")))))</f>
        <v/>
      </c>
      <c r="S14" s="26">
        <f>IF(学校マスタ!$A12="","",IF(AND(学校マスタ!$U12&lt;&gt;"",学校マスタ!$U12&gt;=S$3,学校マスタ!$U12&lt;S$3+7),"◎",IF(OR(AND(学校マスタ!$H12&lt;&gt;"",学校マスタ!$H12&gt;=S$3,学校マスタ!$H12&lt;S$3+7),AND(学校マスタ!$J12&lt;&gt;"",学校マスタ!$J12&gt;=S$3,学校マスタ!$J12&lt;S$3+7),AND(学校マスタ!$L12&lt;&gt;"",学校マスタ!$L12&gt;=S$3,学校マスタ!$L12&lt;S$3+7)),"◆",IF(AND(学校マスタ!$O12&lt;&gt;"",学校マスタ!$P12&lt;&gt;"",学校マスタ!$O12&lt;S$3+7,学校マスタ!$P12&gt;=S$3),"█",IF(AND(学校マスタ!$R12&lt;&gt;"",学校マスタ!$U12&lt;&gt;"",学校マスタ!$R12&lt;S$3+7,学校マスタ!$U12&gt;=S$3),"▒","")))))</f>
        <v/>
      </c>
      <c r="T14" s="26">
        <f>IF(学校マスタ!$A12="","",IF(AND(学校マスタ!$U12&lt;&gt;"",学校マスタ!$U12&gt;=T$3,学校マスタ!$U12&lt;T$3+7),"◎",IF(OR(AND(学校マスタ!$H12&lt;&gt;"",学校マスタ!$H12&gt;=T$3,学校マスタ!$H12&lt;T$3+7),AND(学校マスタ!$J12&lt;&gt;"",学校マスタ!$J12&gt;=T$3,学校マスタ!$J12&lt;T$3+7),AND(学校マスタ!$L12&lt;&gt;"",学校マスタ!$L12&gt;=T$3,学校マスタ!$L12&lt;T$3+7)),"◆",IF(AND(学校マスタ!$O12&lt;&gt;"",学校マスタ!$P12&lt;&gt;"",学校マスタ!$O12&lt;T$3+7,学校マスタ!$P12&gt;=T$3),"█",IF(AND(学校マスタ!$R12&lt;&gt;"",学校マスタ!$U12&lt;&gt;"",学校マスタ!$R12&lt;T$3+7,学校マスタ!$U12&gt;=T$3),"▒","")))))</f>
        <v/>
      </c>
      <c r="U14" s="26">
        <f>IF(学校マスタ!$A12="","",IF(AND(学校マスタ!$U12&lt;&gt;"",学校マスタ!$U12&gt;=U$3,学校マスタ!$U12&lt;U$3+7),"◎",IF(OR(AND(学校マスタ!$H12&lt;&gt;"",学校マスタ!$H12&gt;=U$3,学校マスタ!$H12&lt;U$3+7),AND(学校マスタ!$J12&lt;&gt;"",学校マスタ!$J12&gt;=U$3,学校マスタ!$J12&lt;U$3+7),AND(学校マスタ!$L12&lt;&gt;"",学校マスタ!$L12&gt;=U$3,学校マスタ!$L12&lt;U$3+7)),"◆",IF(AND(学校マスタ!$O12&lt;&gt;"",学校マスタ!$P12&lt;&gt;"",学校マスタ!$O12&lt;U$3+7,学校マスタ!$P12&gt;=U$3),"█",IF(AND(学校マスタ!$R12&lt;&gt;"",学校マスタ!$U12&lt;&gt;"",学校マスタ!$R12&lt;U$3+7,学校マスタ!$U12&gt;=U$3),"▒","")))))</f>
        <v/>
      </c>
      <c r="V14" s="26">
        <f>IF(学校マスタ!$A12="","",IF(AND(学校マスタ!$U12&lt;&gt;"",学校マスタ!$U12&gt;=V$3,学校マスタ!$U12&lt;V$3+7),"◎",IF(OR(AND(学校マスタ!$H12&lt;&gt;"",学校マスタ!$H12&gt;=V$3,学校マスタ!$H12&lt;V$3+7),AND(学校マスタ!$J12&lt;&gt;"",学校マスタ!$J12&gt;=V$3,学校マスタ!$J12&lt;V$3+7),AND(学校マスタ!$L12&lt;&gt;"",学校マスタ!$L12&gt;=V$3,学校マスタ!$L12&lt;V$3+7)),"◆",IF(AND(学校マスタ!$O12&lt;&gt;"",学校マスタ!$P12&lt;&gt;"",学校マスタ!$O12&lt;V$3+7,学校マスタ!$P12&gt;=V$3),"█",IF(AND(学校マスタ!$R12&lt;&gt;"",学校マスタ!$U12&lt;&gt;"",学校マスタ!$R12&lt;V$3+7,学校マスタ!$U12&gt;=V$3),"▒","")))))</f>
        <v/>
      </c>
      <c r="W14" s="26">
        <f>IF(学校マスタ!$A12="","",IF(AND(学校マスタ!$U12&lt;&gt;"",学校マスタ!$U12&gt;=W$3,学校マスタ!$U12&lt;W$3+7),"◎",IF(OR(AND(学校マスタ!$H12&lt;&gt;"",学校マスタ!$H12&gt;=W$3,学校マスタ!$H12&lt;W$3+7),AND(学校マスタ!$J12&lt;&gt;"",学校マスタ!$J12&gt;=W$3,学校マスタ!$J12&lt;W$3+7),AND(学校マスタ!$L12&lt;&gt;"",学校マスタ!$L12&gt;=W$3,学校マスタ!$L12&lt;W$3+7)),"◆",IF(AND(学校マスタ!$O12&lt;&gt;"",学校マスタ!$P12&lt;&gt;"",学校マスタ!$O12&lt;W$3+7,学校マスタ!$P12&gt;=W$3),"█",IF(AND(学校マスタ!$R12&lt;&gt;"",学校マスタ!$U12&lt;&gt;"",学校マスタ!$R12&lt;W$3+7,学校マスタ!$U12&gt;=W$3),"▒","")))))</f>
        <v/>
      </c>
      <c r="X14" s="26">
        <f>IF(学校マスタ!$A12="","",IF(AND(学校マスタ!$U12&lt;&gt;"",学校マスタ!$U12&gt;=X$3,学校マスタ!$U12&lt;X$3+7),"◎",IF(OR(AND(学校マスタ!$H12&lt;&gt;"",学校マスタ!$H12&gt;=X$3,学校マスタ!$H12&lt;X$3+7),AND(学校マスタ!$J12&lt;&gt;"",学校マスタ!$J12&gt;=X$3,学校マスタ!$J12&lt;X$3+7),AND(学校マスタ!$L12&lt;&gt;"",学校マスタ!$L12&gt;=X$3,学校マスタ!$L12&lt;X$3+7)),"◆",IF(AND(学校マスタ!$O12&lt;&gt;"",学校マスタ!$P12&lt;&gt;"",学校マスタ!$O12&lt;X$3+7,学校マスタ!$P12&gt;=X$3),"█",IF(AND(学校マスタ!$R12&lt;&gt;"",学校マスタ!$U12&lt;&gt;"",学校マスタ!$R12&lt;X$3+7,学校マスタ!$U12&gt;=X$3),"▒","")))))</f>
        <v/>
      </c>
      <c r="Y14" s="26">
        <f>IF(学校マスタ!$A12="","",IF(AND(学校マスタ!$U12&lt;&gt;"",学校マスタ!$U12&gt;=Y$3,学校マスタ!$U12&lt;Y$3+7),"◎",IF(OR(AND(学校マスタ!$H12&lt;&gt;"",学校マスタ!$H12&gt;=Y$3,学校マスタ!$H12&lt;Y$3+7),AND(学校マスタ!$J12&lt;&gt;"",学校マスタ!$J12&gt;=Y$3,学校マスタ!$J12&lt;Y$3+7),AND(学校マスタ!$L12&lt;&gt;"",学校マスタ!$L12&gt;=Y$3,学校マスタ!$L12&lt;Y$3+7)),"◆",IF(AND(学校マスタ!$O12&lt;&gt;"",学校マスタ!$P12&lt;&gt;"",学校マスタ!$O12&lt;Y$3+7,学校マスタ!$P12&gt;=Y$3),"█",IF(AND(学校マスタ!$R12&lt;&gt;"",学校マスタ!$U12&lt;&gt;"",学校マスタ!$R12&lt;Y$3+7,学校マスタ!$U12&gt;=Y$3),"▒","")))))</f>
        <v/>
      </c>
      <c r="Z14" s="26">
        <f>IF(学校マスタ!$A12="","",IF(AND(学校マスタ!$U12&lt;&gt;"",学校マスタ!$U12&gt;=Z$3,学校マスタ!$U12&lt;Z$3+7),"◎",IF(OR(AND(学校マスタ!$H12&lt;&gt;"",学校マスタ!$H12&gt;=Z$3,学校マスタ!$H12&lt;Z$3+7),AND(学校マスタ!$J12&lt;&gt;"",学校マスタ!$J12&gt;=Z$3,学校マスタ!$J12&lt;Z$3+7),AND(学校マスタ!$L12&lt;&gt;"",学校マスタ!$L12&gt;=Z$3,学校マスタ!$L12&lt;Z$3+7)),"◆",IF(AND(学校マスタ!$O12&lt;&gt;"",学校マスタ!$P12&lt;&gt;"",学校マスタ!$O12&lt;Z$3+7,学校マスタ!$P12&gt;=Z$3),"█",IF(AND(学校マスタ!$R12&lt;&gt;"",学校マスタ!$U12&lt;&gt;"",学校マスタ!$R12&lt;Z$3+7,学校マスタ!$U12&gt;=Z$3),"▒","")))))</f>
        <v/>
      </c>
      <c r="AA14" s="26">
        <f>IF(学校マスタ!$A12="","",IF(AND(学校マスタ!$U12&lt;&gt;"",学校マスタ!$U12&gt;=AA$3,学校マスタ!$U12&lt;AA$3+7),"◎",IF(OR(AND(学校マスタ!$H12&lt;&gt;"",学校マスタ!$H12&gt;=AA$3,学校マスタ!$H12&lt;AA$3+7),AND(学校マスタ!$J12&lt;&gt;"",学校マスタ!$J12&gt;=AA$3,学校マスタ!$J12&lt;AA$3+7),AND(学校マスタ!$L12&lt;&gt;"",学校マスタ!$L12&gt;=AA$3,学校マスタ!$L12&lt;AA$3+7)),"◆",IF(AND(学校マスタ!$O12&lt;&gt;"",学校マスタ!$P12&lt;&gt;"",学校マスタ!$O12&lt;AA$3+7,学校マスタ!$P12&gt;=AA$3),"█",IF(AND(学校マスタ!$R12&lt;&gt;"",学校マスタ!$U12&lt;&gt;"",学校マスタ!$R12&lt;AA$3+7,学校マスタ!$U12&gt;=AA$3),"▒","")))))</f>
        <v/>
      </c>
      <c r="AB14" s="26">
        <f>IF(学校マスタ!$A12="","",IF(AND(学校マスタ!$U12&lt;&gt;"",学校マスタ!$U12&gt;=AB$3,学校マスタ!$U12&lt;AB$3+7),"◎",IF(OR(AND(学校マスタ!$H12&lt;&gt;"",学校マスタ!$H12&gt;=AB$3,学校マスタ!$H12&lt;AB$3+7),AND(学校マスタ!$J12&lt;&gt;"",学校マスタ!$J12&gt;=AB$3,学校マスタ!$J12&lt;AB$3+7),AND(学校マスタ!$L12&lt;&gt;"",学校マスタ!$L12&gt;=AB$3,学校マスタ!$L12&lt;AB$3+7)),"◆",IF(AND(学校マスタ!$O12&lt;&gt;"",学校マスタ!$P12&lt;&gt;"",学校マスタ!$O12&lt;AB$3+7,学校マスタ!$P12&gt;=AB$3),"█",IF(AND(学校マスタ!$R12&lt;&gt;"",学校マスタ!$U12&lt;&gt;"",学校マスタ!$R12&lt;AB$3+7,学校マスタ!$U12&gt;=AB$3),"▒","")))))</f>
        <v/>
      </c>
    </row>
    <row r="15">
      <c r="A15" s="19">
        <f>IF(学校マスタ!$A13="","",学校マスタ!$A13)</f>
        <v/>
      </c>
      <c r="B15" s="19">
        <f>IF(学校マスタ!$A13="","",学校マスタ!$C13)</f>
        <v/>
      </c>
      <c r="C15" s="19">
        <f>IF(学校マスタ!$A13="","",学校マスタ!$X13)</f>
        <v/>
      </c>
      <c r="D15" s="25">
        <f>IF(学校マスタ!$A13="","",学校マスタ!$R13)</f>
        <v/>
      </c>
      <c r="E15" s="26">
        <f>IF(学校マスタ!$A13="","",IF(AND(学校マスタ!$U13&lt;&gt;"",学校マスタ!$U13&gt;=E$3,学校マスタ!$U13&lt;E$3+7),"◎",IF(OR(AND(学校マスタ!$H13&lt;&gt;"",学校マスタ!$H13&gt;=E$3,学校マスタ!$H13&lt;E$3+7),AND(学校マスタ!$J13&lt;&gt;"",学校マスタ!$J13&gt;=E$3,学校マスタ!$J13&lt;E$3+7),AND(学校マスタ!$L13&lt;&gt;"",学校マスタ!$L13&gt;=E$3,学校マスタ!$L13&lt;E$3+7)),"◆",IF(AND(学校マスタ!$O13&lt;&gt;"",学校マスタ!$P13&lt;&gt;"",学校マスタ!$O13&lt;E$3+7,学校マスタ!$P13&gt;=E$3),"█",IF(AND(学校マスタ!$R13&lt;&gt;"",学校マスタ!$U13&lt;&gt;"",学校マスタ!$R13&lt;E$3+7,学校マスタ!$U13&gt;=E$3),"▒","")))))</f>
        <v/>
      </c>
      <c r="F15" s="26">
        <f>IF(学校マスタ!$A13="","",IF(AND(学校マスタ!$U13&lt;&gt;"",学校マスタ!$U13&gt;=F$3,学校マスタ!$U13&lt;F$3+7),"◎",IF(OR(AND(学校マスタ!$H13&lt;&gt;"",学校マスタ!$H13&gt;=F$3,学校マスタ!$H13&lt;F$3+7),AND(学校マスタ!$J13&lt;&gt;"",学校マスタ!$J13&gt;=F$3,学校マスタ!$J13&lt;F$3+7),AND(学校マスタ!$L13&lt;&gt;"",学校マスタ!$L13&gt;=F$3,学校マスタ!$L13&lt;F$3+7)),"◆",IF(AND(学校マスタ!$O13&lt;&gt;"",学校マスタ!$P13&lt;&gt;"",学校マスタ!$O13&lt;F$3+7,学校マスタ!$P13&gt;=F$3),"█",IF(AND(学校マスタ!$R13&lt;&gt;"",学校マスタ!$U13&lt;&gt;"",学校マスタ!$R13&lt;F$3+7,学校マスタ!$U13&gt;=F$3),"▒","")))))</f>
        <v/>
      </c>
      <c r="G15" s="26">
        <f>IF(学校マスタ!$A13="","",IF(AND(学校マスタ!$U13&lt;&gt;"",学校マスタ!$U13&gt;=G$3,学校マスタ!$U13&lt;G$3+7),"◎",IF(OR(AND(学校マスタ!$H13&lt;&gt;"",学校マスタ!$H13&gt;=G$3,学校マスタ!$H13&lt;G$3+7),AND(学校マスタ!$J13&lt;&gt;"",学校マスタ!$J13&gt;=G$3,学校マスタ!$J13&lt;G$3+7),AND(学校マスタ!$L13&lt;&gt;"",学校マスタ!$L13&gt;=G$3,学校マスタ!$L13&lt;G$3+7)),"◆",IF(AND(学校マスタ!$O13&lt;&gt;"",学校マスタ!$P13&lt;&gt;"",学校マスタ!$O13&lt;G$3+7,学校マスタ!$P13&gt;=G$3),"█",IF(AND(学校マスタ!$R13&lt;&gt;"",学校マスタ!$U13&lt;&gt;"",学校マスタ!$R13&lt;G$3+7,学校マスタ!$U13&gt;=G$3),"▒","")))))</f>
        <v/>
      </c>
      <c r="H15" s="26">
        <f>IF(学校マスタ!$A13="","",IF(AND(学校マスタ!$U13&lt;&gt;"",学校マスタ!$U13&gt;=H$3,学校マスタ!$U13&lt;H$3+7),"◎",IF(OR(AND(学校マスタ!$H13&lt;&gt;"",学校マスタ!$H13&gt;=H$3,学校マスタ!$H13&lt;H$3+7),AND(学校マスタ!$J13&lt;&gt;"",学校マスタ!$J13&gt;=H$3,学校マスタ!$J13&lt;H$3+7),AND(学校マスタ!$L13&lt;&gt;"",学校マスタ!$L13&gt;=H$3,学校マスタ!$L13&lt;H$3+7)),"◆",IF(AND(学校マスタ!$O13&lt;&gt;"",学校マスタ!$P13&lt;&gt;"",学校マスタ!$O13&lt;H$3+7,学校マスタ!$P13&gt;=H$3),"█",IF(AND(学校マスタ!$R13&lt;&gt;"",学校マスタ!$U13&lt;&gt;"",学校マスタ!$R13&lt;H$3+7,学校マスタ!$U13&gt;=H$3),"▒","")))))</f>
        <v/>
      </c>
      <c r="I15" s="26">
        <f>IF(学校マスタ!$A13="","",IF(AND(学校マスタ!$U13&lt;&gt;"",学校マスタ!$U13&gt;=I$3,学校マスタ!$U13&lt;I$3+7),"◎",IF(OR(AND(学校マスタ!$H13&lt;&gt;"",学校マスタ!$H13&gt;=I$3,学校マスタ!$H13&lt;I$3+7),AND(学校マスタ!$J13&lt;&gt;"",学校マスタ!$J13&gt;=I$3,学校マスタ!$J13&lt;I$3+7),AND(学校マスタ!$L13&lt;&gt;"",学校マスタ!$L13&gt;=I$3,学校マスタ!$L13&lt;I$3+7)),"◆",IF(AND(学校マスタ!$O13&lt;&gt;"",学校マスタ!$P13&lt;&gt;"",学校マスタ!$O13&lt;I$3+7,学校マスタ!$P13&gt;=I$3),"█",IF(AND(学校マスタ!$R13&lt;&gt;"",学校マスタ!$U13&lt;&gt;"",学校マスタ!$R13&lt;I$3+7,学校マスタ!$U13&gt;=I$3),"▒","")))))</f>
        <v/>
      </c>
      <c r="J15" s="26">
        <f>IF(学校マスタ!$A13="","",IF(AND(学校マスタ!$U13&lt;&gt;"",学校マスタ!$U13&gt;=J$3,学校マスタ!$U13&lt;J$3+7),"◎",IF(OR(AND(学校マスタ!$H13&lt;&gt;"",学校マスタ!$H13&gt;=J$3,学校マスタ!$H13&lt;J$3+7),AND(学校マスタ!$J13&lt;&gt;"",学校マスタ!$J13&gt;=J$3,学校マスタ!$J13&lt;J$3+7),AND(学校マスタ!$L13&lt;&gt;"",学校マスタ!$L13&gt;=J$3,学校マスタ!$L13&lt;J$3+7)),"◆",IF(AND(学校マスタ!$O13&lt;&gt;"",学校マスタ!$P13&lt;&gt;"",学校マスタ!$O13&lt;J$3+7,学校マスタ!$P13&gt;=J$3),"█",IF(AND(学校マスタ!$R13&lt;&gt;"",学校マスタ!$U13&lt;&gt;"",学校マスタ!$R13&lt;J$3+7,学校マスタ!$U13&gt;=J$3),"▒","")))))</f>
        <v/>
      </c>
      <c r="K15" s="26">
        <f>IF(学校マスタ!$A13="","",IF(AND(学校マスタ!$U13&lt;&gt;"",学校マスタ!$U13&gt;=K$3,学校マスタ!$U13&lt;K$3+7),"◎",IF(OR(AND(学校マスタ!$H13&lt;&gt;"",学校マスタ!$H13&gt;=K$3,学校マスタ!$H13&lt;K$3+7),AND(学校マスタ!$J13&lt;&gt;"",学校マスタ!$J13&gt;=K$3,学校マスタ!$J13&lt;K$3+7),AND(学校マスタ!$L13&lt;&gt;"",学校マスタ!$L13&gt;=K$3,学校マスタ!$L13&lt;K$3+7)),"◆",IF(AND(学校マスタ!$O13&lt;&gt;"",学校マスタ!$P13&lt;&gt;"",学校マスタ!$O13&lt;K$3+7,学校マスタ!$P13&gt;=K$3),"█",IF(AND(学校マスタ!$R13&lt;&gt;"",学校マスタ!$U13&lt;&gt;"",学校マスタ!$R13&lt;K$3+7,学校マスタ!$U13&gt;=K$3),"▒","")))))</f>
        <v/>
      </c>
      <c r="L15" s="26">
        <f>IF(学校マスタ!$A13="","",IF(AND(学校マスタ!$U13&lt;&gt;"",学校マスタ!$U13&gt;=L$3,学校マスタ!$U13&lt;L$3+7),"◎",IF(OR(AND(学校マスタ!$H13&lt;&gt;"",学校マスタ!$H13&gt;=L$3,学校マスタ!$H13&lt;L$3+7),AND(学校マスタ!$J13&lt;&gt;"",学校マスタ!$J13&gt;=L$3,学校マスタ!$J13&lt;L$3+7),AND(学校マスタ!$L13&lt;&gt;"",学校マスタ!$L13&gt;=L$3,学校マスタ!$L13&lt;L$3+7)),"◆",IF(AND(学校マスタ!$O13&lt;&gt;"",学校マスタ!$P13&lt;&gt;"",学校マスタ!$O13&lt;L$3+7,学校マスタ!$P13&gt;=L$3),"█",IF(AND(学校マスタ!$R13&lt;&gt;"",学校マスタ!$U13&lt;&gt;"",学校マスタ!$R13&lt;L$3+7,学校マスタ!$U13&gt;=L$3),"▒","")))))</f>
        <v/>
      </c>
      <c r="M15" s="26">
        <f>IF(学校マスタ!$A13="","",IF(AND(学校マスタ!$U13&lt;&gt;"",学校マスタ!$U13&gt;=M$3,学校マスタ!$U13&lt;M$3+7),"◎",IF(OR(AND(学校マスタ!$H13&lt;&gt;"",学校マスタ!$H13&gt;=M$3,学校マスタ!$H13&lt;M$3+7),AND(学校マスタ!$J13&lt;&gt;"",学校マスタ!$J13&gt;=M$3,学校マスタ!$J13&lt;M$3+7),AND(学校マスタ!$L13&lt;&gt;"",学校マスタ!$L13&gt;=M$3,学校マスタ!$L13&lt;M$3+7)),"◆",IF(AND(学校マスタ!$O13&lt;&gt;"",学校マスタ!$P13&lt;&gt;"",学校マスタ!$O13&lt;M$3+7,学校マスタ!$P13&gt;=M$3),"█",IF(AND(学校マスタ!$R13&lt;&gt;"",学校マスタ!$U13&lt;&gt;"",学校マスタ!$R13&lt;M$3+7,学校マスタ!$U13&gt;=M$3),"▒","")))))</f>
        <v/>
      </c>
      <c r="N15" s="26">
        <f>IF(学校マスタ!$A13="","",IF(AND(学校マスタ!$U13&lt;&gt;"",学校マスタ!$U13&gt;=N$3,学校マスタ!$U13&lt;N$3+7),"◎",IF(OR(AND(学校マスタ!$H13&lt;&gt;"",学校マスタ!$H13&gt;=N$3,学校マスタ!$H13&lt;N$3+7),AND(学校マスタ!$J13&lt;&gt;"",学校マスタ!$J13&gt;=N$3,学校マスタ!$J13&lt;N$3+7),AND(学校マスタ!$L13&lt;&gt;"",学校マスタ!$L13&gt;=N$3,学校マスタ!$L13&lt;N$3+7)),"◆",IF(AND(学校マスタ!$O13&lt;&gt;"",学校マスタ!$P13&lt;&gt;"",学校マスタ!$O13&lt;N$3+7,学校マスタ!$P13&gt;=N$3),"█",IF(AND(学校マスタ!$R13&lt;&gt;"",学校マスタ!$U13&lt;&gt;"",学校マスタ!$R13&lt;N$3+7,学校マスタ!$U13&gt;=N$3),"▒","")))))</f>
        <v/>
      </c>
      <c r="O15" s="26">
        <f>IF(学校マスタ!$A13="","",IF(AND(学校マスタ!$U13&lt;&gt;"",学校マスタ!$U13&gt;=O$3,学校マスタ!$U13&lt;O$3+7),"◎",IF(OR(AND(学校マスタ!$H13&lt;&gt;"",学校マスタ!$H13&gt;=O$3,学校マスタ!$H13&lt;O$3+7),AND(学校マスタ!$J13&lt;&gt;"",学校マスタ!$J13&gt;=O$3,学校マスタ!$J13&lt;O$3+7),AND(学校マスタ!$L13&lt;&gt;"",学校マスタ!$L13&gt;=O$3,学校マスタ!$L13&lt;O$3+7)),"◆",IF(AND(学校マスタ!$O13&lt;&gt;"",学校マスタ!$P13&lt;&gt;"",学校マスタ!$O13&lt;O$3+7,学校マスタ!$P13&gt;=O$3),"█",IF(AND(学校マスタ!$R13&lt;&gt;"",学校マスタ!$U13&lt;&gt;"",学校マスタ!$R13&lt;O$3+7,学校マスタ!$U13&gt;=O$3),"▒","")))))</f>
        <v/>
      </c>
      <c r="P15" s="26">
        <f>IF(学校マスタ!$A13="","",IF(AND(学校マスタ!$U13&lt;&gt;"",学校マスタ!$U13&gt;=P$3,学校マスタ!$U13&lt;P$3+7),"◎",IF(OR(AND(学校マスタ!$H13&lt;&gt;"",学校マスタ!$H13&gt;=P$3,学校マスタ!$H13&lt;P$3+7),AND(学校マスタ!$J13&lt;&gt;"",学校マスタ!$J13&gt;=P$3,学校マスタ!$J13&lt;P$3+7),AND(学校マスタ!$L13&lt;&gt;"",学校マスタ!$L13&gt;=P$3,学校マスタ!$L13&lt;P$3+7)),"◆",IF(AND(学校マスタ!$O13&lt;&gt;"",学校マスタ!$P13&lt;&gt;"",学校マスタ!$O13&lt;P$3+7,学校マスタ!$P13&gt;=P$3),"█",IF(AND(学校マスタ!$R13&lt;&gt;"",学校マスタ!$U13&lt;&gt;"",学校マスタ!$R13&lt;P$3+7,学校マスタ!$U13&gt;=P$3),"▒","")))))</f>
        <v/>
      </c>
      <c r="Q15" s="26">
        <f>IF(学校マスタ!$A13="","",IF(AND(学校マスタ!$U13&lt;&gt;"",学校マスタ!$U13&gt;=Q$3,学校マスタ!$U13&lt;Q$3+7),"◎",IF(OR(AND(学校マスタ!$H13&lt;&gt;"",学校マスタ!$H13&gt;=Q$3,学校マスタ!$H13&lt;Q$3+7),AND(学校マスタ!$J13&lt;&gt;"",学校マスタ!$J13&gt;=Q$3,学校マスタ!$J13&lt;Q$3+7),AND(学校マスタ!$L13&lt;&gt;"",学校マスタ!$L13&gt;=Q$3,学校マスタ!$L13&lt;Q$3+7)),"◆",IF(AND(学校マスタ!$O13&lt;&gt;"",学校マスタ!$P13&lt;&gt;"",学校マスタ!$O13&lt;Q$3+7,学校マスタ!$P13&gt;=Q$3),"█",IF(AND(学校マスタ!$R13&lt;&gt;"",学校マスタ!$U13&lt;&gt;"",学校マスタ!$R13&lt;Q$3+7,学校マスタ!$U13&gt;=Q$3),"▒","")))))</f>
        <v/>
      </c>
      <c r="R15" s="26">
        <f>IF(学校マスタ!$A13="","",IF(AND(学校マスタ!$U13&lt;&gt;"",学校マスタ!$U13&gt;=R$3,学校マスタ!$U13&lt;R$3+7),"◎",IF(OR(AND(学校マスタ!$H13&lt;&gt;"",学校マスタ!$H13&gt;=R$3,学校マスタ!$H13&lt;R$3+7),AND(学校マスタ!$J13&lt;&gt;"",学校マスタ!$J13&gt;=R$3,学校マスタ!$J13&lt;R$3+7),AND(学校マスタ!$L13&lt;&gt;"",学校マスタ!$L13&gt;=R$3,学校マスタ!$L13&lt;R$3+7)),"◆",IF(AND(学校マスタ!$O13&lt;&gt;"",学校マスタ!$P13&lt;&gt;"",学校マスタ!$O13&lt;R$3+7,学校マスタ!$P13&gt;=R$3),"█",IF(AND(学校マスタ!$R13&lt;&gt;"",学校マスタ!$U13&lt;&gt;"",学校マスタ!$R13&lt;R$3+7,学校マスタ!$U13&gt;=R$3),"▒","")))))</f>
        <v/>
      </c>
      <c r="S15" s="26">
        <f>IF(学校マスタ!$A13="","",IF(AND(学校マスタ!$U13&lt;&gt;"",学校マスタ!$U13&gt;=S$3,学校マスタ!$U13&lt;S$3+7),"◎",IF(OR(AND(学校マスタ!$H13&lt;&gt;"",学校マスタ!$H13&gt;=S$3,学校マスタ!$H13&lt;S$3+7),AND(学校マスタ!$J13&lt;&gt;"",学校マスタ!$J13&gt;=S$3,学校マスタ!$J13&lt;S$3+7),AND(学校マスタ!$L13&lt;&gt;"",学校マスタ!$L13&gt;=S$3,学校マスタ!$L13&lt;S$3+7)),"◆",IF(AND(学校マスタ!$O13&lt;&gt;"",学校マスタ!$P13&lt;&gt;"",学校マスタ!$O13&lt;S$3+7,学校マスタ!$P13&gt;=S$3),"█",IF(AND(学校マスタ!$R13&lt;&gt;"",学校マスタ!$U13&lt;&gt;"",学校マスタ!$R13&lt;S$3+7,学校マスタ!$U13&gt;=S$3),"▒","")))))</f>
        <v/>
      </c>
      <c r="T15" s="26">
        <f>IF(学校マスタ!$A13="","",IF(AND(学校マスタ!$U13&lt;&gt;"",学校マスタ!$U13&gt;=T$3,学校マスタ!$U13&lt;T$3+7),"◎",IF(OR(AND(学校マスタ!$H13&lt;&gt;"",学校マスタ!$H13&gt;=T$3,学校マスタ!$H13&lt;T$3+7),AND(学校マスタ!$J13&lt;&gt;"",学校マスタ!$J13&gt;=T$3,学校マスタ!$J13&lt;T$3+7),AND(学校マスタ!$L13&lt;&gt;"",学校マスタ!$L13&gt;=T$3,学校マスタ!$L13&lt;T$3+7)),"◆",IF(AND(学校マスタ!$O13&lt;&gt;"",学校マスタ!$P13&lt;&gt;"",学校マスタ!$O13&lt;T$3+7,学校マスタ!$P13&gt;=T$3),"█",IF(AND(学校マスタ!$R13&lt;&gt;"",学校マスタ!$U13&lt;&gt;"",学校マスタ!$R13&lt;T$3+7,学校マスタ!$U13&gt;=T$3),"▒","")))))</f>
        <v/>
      </c>
      <c r="U15" s="26">
        <f>IF(学校マスタ!$A13="","",IF(AND(学校マスタ!$U13&lt;&gt;"",学校マスタ!$U13&gt;=U$3,学校マスタ!$U13&lt;U$3+7),"◎",IF(OR(AND(学校マスタ!$H13&lt;&gt;"",学校マスタ!$H13&gt;=U$3,学校マスタ!$H13&lt;U$3+7),AND(学校マスタ!$J13&lt;&gt;"",学校マスタ!$J13&gt;=U$3,学校マスタ!$J13&lt;U$3+7),AND(学校マスタ!$L13&lt;&gt;"",学校マスタ!$L13&gt;=U$3,学校マスタ!$L13&lt;U$3+7)),"◆",IF(AND(学校マスタ!$O13&lt;&gt;"",学校マスタ!$P13&lt;&gt;"",学校マスタ!$O13&lt;U$3+7,学校マスタ!$P13&gt;=U$3),"█",IF(AND(学校マスタ!$R13&lt;&gt;"",学校マスタ!$U13&lt;&gt;"",学校マスタ!$R13&lt;U$3+7,学校マスタ!$U13&gt;=U$3),"▒","")))))</f>
        <v/>
      </c>
      <c r="V15" s="26">
        <f>IF(学校マスタ!$A13="","",IF(AND(学校マスタ!$U13&lt;&gt;"",学校マスタ!$U13&gt;=V$3,学校マスタ!$U13&lt;V$3+7),"◎",IF(OR(AND(学校マスタ!$H13&lt;&gt;"",学校マスタ!$H13&gt;=V$3,学校マスタ!$H13&lt;V$3+7),AND(学校マスタ!$J13&lt;&gt;"",学校マスタ!$J13&gt;=V$3,学校マスタ!$J13&lt;V$3+7),AND(学校マスタ!$L13&lt;&gt;"",学校マスタ!$L13&gt;=V$3,学校マスタ!$L13&lt;V$3+7)),"◆",IF(AND(学校マスタ!$O13&lt;&gt;"",学校マスタ!$P13&lt;&gt;"",学校マスタ!$O13&lt;V$3+7,学校マスタ!$P13&gt;=V$3),"█",IF(AND(学校マスタ!$R13&lt;&gt;"",学校マスタ!$U13&lt;&gt;"",学校マスタ!$R13&lt;V$3+7,学校マスタ!$U13&gt;=V$3),"▒","")))))</f>
        <v/>
      </c>
      <c r="W15" s="26">
        <f>IF(学校マスタ!$A13="","",IF(AND(学校マスタ!$U13&lt;&gt;"",学校マスタ!$U13&gt;=W$3,学校マスタ!$U13&lt;W$3+7),"◎",IF(OR(AND(学校マスタ!$H13&lt;&gt;"",学校マスタ!$H13&gt;=W$3,学校マスタ!$H13&lt;W$3+7),AND(学校マスタ!$J13&lt;&gt;"",学校マスタ!$J13&gt;=W$3,学校マスタ!$J13&lt;W$3+7),AND(学校マスタ!$L13&lt;&gt;"",学校マスタ!$L13&gt;=W$3,学校マスタ!$L13&lt;W$3+7)),"◆",IF(AND(学校マスタ!$O13&lt;&gt;"",学校マスタ!$P13&lt;&gt;"",学校マスタ!$O13&lt;W$3+7,学校マスタ!$P13&gt;=W$3),"█",IF(AND(学校マスタ!$R13&lt;&gt;"",学校マスタ!$U13&lt;&gt;"",学校マスタ!$R13&lt;W$3+7,学校マスタ!$U13&gt;=W$3),"▒","")))))</f>
        <v/>
      </c>
      <c r="X15" s="26">
        <f>IF(学校マスタ!$A13="","",IF(AND(学校マスタ!$U13&lt;&gt;"",学校マスタ!$U13&gt;=X$3,学校マスタ!$U13&lt;X$3+7),"◎",IF(OR(AND(学校マスタ!$H13&lt;&gt;"",学校マスタ!$H13&gt;=X$3,学校マスタ!$H13&lt;X$3+7),AND(学校マスタ!$J13&lt;&gt;"",学校マスタ!$J13&gt;=X$3,学校マスタ!$J13&lt;X$3+7),AND(学校マスタ!$L13&lt;&gt;"",学校マスタ!$L13&gt;=X$3,学校マスタ!$L13&lt;X$3+7)),"◆",IF(AND(学校マスタ!$O13&lt;&gt;"",学校マスタ!$P13&lt;&gt;"",学校マスタ!$O13&lt;X$3+7,学校マスタ!$P13&gt;=X$3),"█",IF(AND(学校マスタ!$R13&lt;&gt;"",学校マスタ!$U13&lt;&gt;"",学校マスタ!$R13&lt;X$3+7,学校マスタ!$U13&gt;=X$3),"▒","")))))</f>
        <v/>
      </c>
      <c r="Y15" s="26">
        <f>IF(学校マスタ!$A13="","",IF(AND(学校マスタ!$U13&lt;&gt;"",学校マスタ!$U13&gt;=Y$3,学校マスタ!$U13&lt;Y$3+7),"◎",IF(OR(AND(学校マスタ!$H13&lt;&gt;"",学校マスタ!$H13&gt;=Y$3,学校マスタ!$H13&lt;Y$3+7),AND(学校マスタ!$J13&lt;&gt;"",学校マスタ!$J13&gt;=Y$3,学校マスタ!$J13&lt;Y$3+7),AND(学校マスタ!$L13&lt;&gt;"",学校マスタ!$L13&gt;=Y$3,学校マスタ!$L13&lt;Y$3+7)),"◆",IF(AND(学校マスタ!$O13&lt;&gt;"",学校マスタ!$P13&lt;&gt;"",学校マスタ!$O13&lt;Y$3+7,学校マスタ!$P13&gt;=Y$3),"█",IF(AND(学校マスタ!$R13&lt;&gt;"",学校マスタ!$U13&lt;&gt;"",学校マスタ!$R13&lt;Y$3+7,学校マスタ!$U13&gt;=Y$3),"▒","")))))</f>
        <v/>
      </c>
      <c r="Z15" s="26">
        <f>IF(学校マスタ!$A13="","",IF(AND(学校マスタ!$U13&lt;&gt;"",学校マスタ!$U13&gt;=Z$3,学校マスタ!$U13&lt;Z$3+7),"◎",IF(OR(AND(学校マスタ!$H13&lt;&gt;"",学校マスタ!$H13&gt;=Z$3,学校マスタ!$H13&lt;Z$3+7),AND(学校マスタ!$J13&lt;&gt;"",学校マスタ!$J13&gt;=Z$3,学校マスタ!$J13&lt;Z$3+7),AND(学校マスタ!$L13&lt;&gt;"",学校マスタ!$L13&gt;=Z$3,学校マスタ!$L13&lt;Z$3+7)),"◆",IF(AND(学校マスタ!$O13&lt;&gt;"",学校マスタ!$P13&lt;&gt;"",学校マスタ!$O13&lt;Z$3+7,学校マスタ!$P13&gt;=Z$3),"█",IF(AND(学校マスタ!$R13&lt;&gt;"",学校マスタ!$U13&lt;&gt;"",学校マスタ!$R13&lt;Z$3+7,学校マスタ!$U13&gt;=Z$3),"▒","")))))</f>
        <v/>
      </c>
      <c r="AA15" s="26">
        <f>IF(学校マスタ!$A13="","",IF(AND(学校マスタ!$U13&lt;&gt;"",学校マスタ!$U13&gt;=AA$3,学校マスタ!$U13&lt;AA$3+7),"◎",IF(OR(AND(学校マスタ!$H13&lt;&gt;"",学校マスタ!$H13&gt;=AA$3,学校マスタ!$H13&lt;AA$3+7),AND(学校マスタ!$J13&lt;&gt;"",学校マスタ!$J13&gt;=AA$3,学校マスタ!$J13&lt;AA$3+7),AND(学校マスタ!$L13&lt;&gt;"",学校マスタ!$L13&gt;=AA$3,学校マスタ!$L13&lt;AA$3+7)),"◆",IF(AND(学校マスタ!$O13&lt;&gt;"",学校マスタ!$P13&lt;&gt;"",学校マスタ!$O13&lt;AA$3+7,学校マスタ!$P13&gt;=AA$3),"█",IF(AND(学校マスタ!$R13&lt;&gt;"",学校マスタ!$U13&lt;&gt;"",学校マスタ!$R13&lt;AA$3+7,学校マスタ!$U13&gt;=AA$3),"▒","")))))</f>
        <v/>
      </c>
      <c r="AB15" s="26">
        <f>IF(学校マスタ!$A13="","",IF(AND(学校マスタ!$U13&lt;&gt;"",学校マスタ!$U13&gt;=AB$3,学校マスタ!$U13&lt;AB$3+7),"◎",IF(OR(AND(学校マスタ!$H13&lt;&gt;"",学校マスタ!$H13&gt;=AB$3,学校マスタ!$H13&lt;AB$3+7),AND(学校マスタ!$J13&lt;&gt;"",学校マスタ!$J13&gt;=AB$3,学校マスタ!$J13&lt;AB$3+7),AND(学校マスタ!$L13&lt;&gt;"",学校マスタ!$L13&gt;=AB$3,学校マスタ!$L13&lt;AB$3+7)),"◆",IF(AND(学校マスタ!$O13&lt;&gt;"",学校マスタ!$P13&lt;&gt;"",学校マスタ!$O13&lt;AB$3+7,学校マスタ!$P13&gt;=AB$3),"█",IF(AND(学校マスタ!$R13&lt;&gt;"",学校マスタ!$U13&lt;&gt;"",学校マスタ!$R13&lt;AB$3+7,学校マスタ!$U13&gt;=AB$3),"▒","")))))</f>
        <v/>
      </c>
    </row>
    <row r="16">
      <c r="A16" s="19">
        <f>IF(学校マスタ!$A14="","",学校マスタ!$A14)</f>
        <v/>
      </c>
      <c r="B16" s="19">
        <f>IF(学校マスタ!$A14="","",学校マスタ!$C14)</f>
        <v/>
      </c>
      <c r="C16" s="19">
        <f>IF(学校マスタ!$A14="","",学校マスタ!$X14)</f>
        <v/>
      </c>
      <c r="D16" s="25">
        <f>IF(学校マスタ!$A14="","",学校マスタ!$R14)</f>
        <v/>
      </c>
      <c r="E16" s="26">
        <f>IF(学校マスタ!$A14="","",IF(AND(学校マスタ!$U14&lt;&gt;"",学校マスタ!$U14&gt;=E$3,学校マスタ!$U14&lt;E$3+7),"◎",IF(OR(AND(学校マスタ!$H14&lt;&gt;"",学校マスタ!$H14&gt;=E$3,学校マスタ!$H14&lt;E$3+7),AND(学校マスタ!$J14&lt;&gt;"",学校マスタ!$J14&gt;=E$3,学校マスタ!$J14&lt;E$3+7),AND(学校マスタ!$L14&lt;&gt;"",学校マスタ!$L14&gt;=E$3,学校マスタ!$L14&lt;E$3+7)),"◆",IF(AND(学校マスタ!$O14&lt;&gt;"",学校マスタ!$P14&lt;&gt;"",学校マスタ!$O14&lt;E$3+7,学校マスタ!$P14&gt;=E$3),"█",IF(AND(学校マスタ!$R14&lt;&gt;"",学校マスタ!$U14&lt;&gt;"",学校マスタ!$R14&lt;E$3+7,学校マスタ!$U14&gt;=E$3),"▒","")))))</f>
        <v/>
      </c>
      <c r="F16" s="26">
        <f>IF(学校マスタ!$A14="","",IF(AND(学校マスタ!$U14&lt;&gt;"",学校マスタ!$U14&gt;=F$3,学校マスタ!$U14&lt;F$3+7),"◎",IF(OR(AND(学校マスタ!$H14&lt;&gt;"",学校マスタ!$H14&gt;=F$3,学校マスタ!$H14&lt;F$3+7),AND(学校マスタ!$J14&lt;&gt;"",学校マスタ!$J14&gt;=F$3,学校マスタ!$J14&lt;F$3+7),AND(学校マスタ!$L14&lt;&gt;"",学校マスタ!$L14&gt;=F$3,学校マスタ!$L14&lt;F$3+7)),"◆",IF(AND(学校マスタ!$O14&lt;&gt;"",学校マスタ!$P14&lt;&gt;"",学校マスタ!$O14&lt;F$3+7,学校マスタ!$P14&gt;=F$3),"█",IF(AND(学校マスタ!$R14&lt;&gt;"",学校マスタ!$U14&lt;&gt;"",学校マスタ!$R14&lt;F$3+7,学校マスタ!$U14&gt;=F$3),"▒","")))))</f>
        <v/>
      </c>
      <c r="G16" s="26">
        <f>IF(学校マスタ!$A14="","",IF(AND(学校マスタ!$U14&lt;&gt;"",学校マスタ!$U14&gt;=G$3,学校マスタ!$U14&lt;G$3+7),"◎",IF(OR(AND(学校マスタ!$H14&lt;&gt;"",学校マスタ!$H14&gt;=G$3,学校マスタ!$H14&lt;G$3+7),AND(学校マスタ!$J14&lt;&gt;"",学校マスタ!$J14&gt;=G$3,学校マスタ!$J14&lt;G$3+7),AND(学校マスタ!$L14&lt;&gt;"",学校マスタ!$L14&gt;=G$3,学校マスタ!$L14&lt;G$3+7)),"◆",IF(AND(学校マスタ!$O14&lt;&gt;"",学校マスタ!$P14&lt;&gt;"",学校マスタ!$O14&lt;G$3+7,学校マスタ!$P14&gt;=G$3),"█",IF(AND(学校マスタ!$R14&lt;&gt;"",学校マスタ!$U14&lt;&gt;"",学校マスタ!$R14&lt;G$3+7,学校マスタ!$U14&gt;=G$3),"▒","")))))</f>
        <v/>
      </c>
      <c r="H16" s="26">
        <f>IF(学校マスタ!$A14="","",IF(AND(学校マスタ!$U14&lt;&gt;"",学校マスタ!$U14&gt;=H$3,学校マスタ!$U14&lt;H$3+7),"◎",IF(OR(AND(学校マスタ!$H14&lt;&gt;"",学校マスタ!$H14&gt;=H$3,学校マスタ!$H14&lt;H$3+7),AND(学校マスタ!$J14&lt;&gt;"",学校マスタ!$J14&gt;=H$3,学校マスタ!$J14&lt;H$3+7),AND(学校マスタ!$L14&lt;&gt;"",学校マスタ!$L14&gt;=H$3,学校マスタ!$L14&lt;H$3+7)),"◆",IF(AND(学校マスタ!$O14&lt;&gt;"",学校マスタ!$P14&lt;&gt;"",学校マスタ!$O14&lt;H$3+7,学校マスタ!$P14&gt;=H$3),"█",IF(AND(学校マスタ!$R14&lt;&gt;"",学校マスタ!$U14&lt;&gt;"",学校マスタ!$R14&lt;H$3+7,学校マスタ!$U14&gt;=H$3),"▒","")))))</f>
        <v/>
      </c>
      <c r="I16" s="26">
        <f>IF(学校マスタ!$A14="","",IF(AND(学校マスタ!$U14&lt;&gt;"",学校マスタ!$U14&gt;=I$3,学校マスタ!$U14&lt;I$3+7),"◎",IF(OR(AND(学校マスタ!$H14&lt;&gt;"",学校マスタ!$H14&gt;=I$3,学校マスタ!$H14&lt;I$3+7),AND(学校マスタ!$J14&lt;&gt;"",学校マスタ!$J14&gt;=I$3,学校マスタ!$J14&lt;I$3+7),AND(学校マスタ!$L14&lt;&gt;"",学校マスタ!$L14&gt;=I$3,学校マスタ!$L14&lt;I$3+7)),"◆",IF(AND(学校マスタ!$O14&lt;&gt;"",学校マスタ!$P14&lt;&gt;"",学校マスタ!$O14&lt;I$3+7,学校マスタ!$P14&gt;=I$3),"█",IF(AND(学校マスタ!$R14&lt;&gt;"",学校マスタ!$U14&lt;&gt;"",学校マスタ!$R14&lt;I$3+7,学校マスタ!$U14&gt;=I$3),"▒","")))))</f>
        <v/>
      </c>
      <c r="J16" s="26">
        <f>IF(学校マスタ!$A14="","",IF(AND(学校マスタ!$U14&lt;&gt;"",学校マスタ!$U14&gt;=J$3,学校マスタ!$U14&lt;J$3+7),"◎",IF(OR(AND(学校マスタ!$H14&lt;&gt;"",学校マスタ!$H14&gt;=J$3,学校マスタ!$H14&lt;J$3+7),AND(学校マスタ!$J14&lt;&gt;"",学校マスタ!$J14&gt;=J$3,学校マスタ!$J14&lt;J$3+7),AND(学校マスタ!$L14&lt;&gt;"",学校マスタ!$L14&gt;=J$3,学校マスタ!$L14&lt;J$3+7)),"◆",IF(AND(学校マスタ!$O14&lt;&gt;"",学校マスタ!$P14&lt;&gt;"",学校マスタ!$O14&lt;J$3+7,学校マスタ!$P14&gt;=J$3),"█",IF(AND(学校マスタ!$R14&lt;&gt;"",学校マスタ!$U14&lt;&gt;"",学校マスタ!$R14&lt;J$3+7,学校マスタ!$U14&gt;=J$3),"▒","")))))</f>
        <v/>
      </c>
      <c r="K16" s="26">
        <f>IF(学校マスタ!$A14="","",IF(AND(学校マスタ!$U14&lt;&gt;"",学校マスタ!$U14&gt;=K$3,学校マスタ!$U14&lt;K$3+7),"◎",IF(OR(AND(学校マスタ!$H14&lt;&gt;"",学校マスタ!$H14&gt;=K$3,学校マスタ!$H14&lt;K$3+7),AND(学校マスタ!$J14&lt;&gt;"",学校マスタ!$J14&gt;=K$3,学校マスタ!$J14&lt;K$3+7),AND(学校マスタ!$L14&lt;&gt;"",学校マスタ!$L14&gt;=K$3,学校マスタ!$L14&lt;K$3+7)),"◆",IF(AND(学校マスタ!$O14&lt;&gt;"",学校マスタ!$P14&lt;&gt;"",学校マスタ!$O14&lt;K$3+7,学校マスタ!$P14&gt;=K$3),"█",IF(AND(学校マスタ!$R14&lt;&gt;"",学校マスタ!$U14&lt;&gt;"",学校マスタ!$R14&lt;K$3+7,学校マスタ!$U14&gt;=K$3),"▒","")))))</f>
        <v/>
      </c>
      <c r="L16" s="26">
        <f>IF(学校マスタ!$A14="","",IF(AND(学校マスタ!$U14&lt;&gt;"",学校マスタ!$U14&gt;=L$3,学校マスタ!$U14&lt;L$3+7),"◎",IF(OR(AND(学校マスタ!$H14&lt;&gt;"",学校マスタ!$H14&gt;=L$3,学校マスタ!$H14&lt;L$3+7),AND(学校マスタ!$J14&lt;&gt;"",学校マスタ!$J14&gt;=L$3,学校マスタ!$J14&lt;L$3+7),AND(学校マスタ!$L14&lt;&gt;"",学校マスタ!$L14&gt;=L$3,学校マスタ!$L14&lt;L$3+7)),"◆",IF(AND(学校マスタ!$O14&lt;&gt;"",学校マスタ!$P14&lt;&gt;"",学校マスタ!$O14&lt;L$3+7,学校マスタ!$P14&gt;=L$3),"█",IF(AND(学校マスタ!$R14&lt;&gt;"",学校マスタ!$U14&lt;&gt;"",学校マスタ!$R14&lt;L$3+7,学校マスタ!$U14&gt;=L$3),"▒","")))))</f>
        <v/>
      </c>
      <c r="M16" s="26">
        <f>IF(学校マスタ!$A14="","",IF(AND(学校マスタ!$U14&lt;&gt;"",学校マスタ!$U14&gt;=M$3,学校マスタ!$U14&lt;M$3+7),"◎",IF(OR(AND(学校マスタ!$H14&lt;&gt;"",学校マスタ!$H14&gt;=M$3,学校マスタ!$H14&lt;M$3+7),AND(学校マスタ!$J14&lt;&gt;"",学校マスタ!$J14&gt;=M$3,学校マスタ!$J14&lt;M$3+7),AND(学校マスタ!$L14&lt;&gt;"",学校マスタ!$L14&gt;=M$3,学校マスタ!$L14&lt;M$3+7)),"◆",IF(AND(学校マスタ!$O14&lt;&gt;"",学校マスタ!$P14&lt;&gt;"",学校マスタ!$O14&lt;M$3+7,学校マスタ!$P14&gt;=M$3),"█",IF(AND(学校マスタ!$R14&lt;&gt;"",学校マスタ!$U14&lt;&gt;"",学校マスタ!$R14&lt;M$3+7,学校マスタ!$U14&gt;=M$3),"▒","")))))</f>
        <v/>
      </c>
      <c r="N16" s="26">
        <f>IF(学校マスタ!$A14="","",IF(AND(学校マスタ!$U14&lt;&gt;"",学校マスタ!$U14&gt;=N$3,学校マスタ!$U14&lt;N$3+7),"◎",IF(OR(AND(学校マスタ!$H14&lt;&gt;"",学校マスタ!$H14&gt;=N$3,学校マスタ!$H14&lt;N$3+7),AND(学校マスタ!$J14&lt;&gt;"",学校マスタ!$J14&gt;=N$3,学校マスタ!$J14&lt;N$3+7),AND(学校マスタ!$L14&lt;&gt;"",学校マスタ!$L14&gt;=N$3,学校マスタ!$L14&lt;N$3+7)),"◆",IF(AND(学校マスタ!$O14&lt;&gt;"",学校マスタ!$P14&lt;&gt;"",学校マスタ!$O14&lt;N$3+7,学校マスタ!$P14&gt;=N$3),"█",IF(AND(学校マスタ!$R14&lt;&gt;"",学校マスタ!$U14&lt;&gt;"",学校マスタ!$R14&lt;N$3+7,学校マスタ!$U14&gt;=N$3),"▒","")))))</f>
        <v/>
      </c>
      <c r="O16" s="26">
        <f>IF(学校マスタ!$A14="","",IF(AND(学校マスタ!$U14&lt;&gt;"",学校マスタ!$U14&gt;=O$3,学校マスタ!$U14&lt;O$3+7),"◎",IF(OR(AND(学校マスタ!$H14&lt;&gt;"",学校マスタ!$H14&gt;=O$3,学校マスタ!$H14&lt;O$3+7),AND(学校マスタ!$J14&lt;&gt;"",学校マスタ!$J14&gt;=O$3,学校マスタ!$J14&lt;O$3+7),AND(学校マスタ!$L14&lt;&gt;"",学校マスタ!$L14&gt;=O$3,学校マスタ!$L14&lt;O$3+7)),"◆",IF(AND(学校マスタ!$O14&lt;&gt;"",学校マスタ!$P14&lt;&gt;"",学校マスタ!$O14&lt;O$3+7,学校マスタ!$P14&gt;=O$3),"█",IF(AND(学校マスタ!$R14&lt;&gt;"",学校マスタ!$U14&lt;&gt;"",学校マスタ!$R14&lt;O$3+7,学校マスタ!$U14&gt;=O$3),"▒","")))))</f>
        <v/>
      </c>
      <c r="P16" s="26">
        <f>IF(学校マスタ!$A14="","",IF(AND(学校マスタ!$U14&lt;&gt;"",学校マスタ!$U14&gt;=P$3,学校マスタ!$U14&lt;P$3+7),"◎",IF(OR(AND(学校マスタ!$H14&lt;&gt;"",学校マスタ!$H14&gt;=P$3,学校マスタ!$H14&lt;P$3+7),AND(学校マスタ!$J14&lt;&gt;"",学校マスタ!$J14&gt;=P$3,学校マスタ!$J14&lt;P$3+7),AND(学校マスタ!$L14&lt;&gt;"",学校マスタ!$L14&gt;=P$3,学校マスタ!$L14&lt;P$3+7)),"◆",IF(AND(学校マスタ!$O14&lt;&gt;"",学校マスタ!$P14&lt;&gt;"",学校マスタ!$O14&lt;P$3+7,学校マスタ!$P14&gt;=P$3),"█",IF(AND(学校マスタ!$R14&lt;&gt;"",学校マスタ!$U14&lt;&gt;"",学校マスタ!$R14&lt;P$3+7,学校マスタ!$U14&gt;=P$3),"▒","")))))</f>
        <v/>
      </c>
      <c r="Q16" s="26">
        <f>IF(学校マスタ!$A14="","",IF(AND(学校マスタ!$U14&lt;&gt;"",学校マスタ!$U14&gt;=Q$3,学校マスタ!$U14&lt;Q$3+7),"◎",IF(OR(AND(学校マスタ!$H14&lt;&gt;"",学校マスタ!$H14&gt;=Q$3,学校マスタ!$H14&lt;Q$3+7),AND(学校マスタ!$J14&lt;&gt;"",学校マスタ!$J14&gt;=Q$3,学校マスタ!$J14&lt;Q$3+7),AND(学校マスタ!$L14&lt;&gt;"",学校マスタ!$L14&gt;=Q$3,学校マスタ!$L14&lt;Q$3+7)),"◆",IF(AND(学校マスタ!$O14&lt;&gt;"",学校マスタ!$P14&lt;&gt;"",学校マスタ!$O14&lt;Q$3+7,学校マスタ!$P14&gt;=Q$3),"█",IF(AND(学校マスタ!$R14&lt;&gt;"",学校マスタ!$U14&lt;&gt;"",学校マスタ!$R14&lt;Q$3+7,学校マスタ!$U14&gt;=Q$3),"▒","")))))</f>
        <v/>
      </c>
      <c r="R16" s="26">
        <f>IF(学校マスタ!$A14="","",IF(AND(学校マスタ!$U14&lt;&gt;"",学校マスタ!$U14&gt;=R$3,学校マスタ!$U14&lt;R$3+7),"◎",IF(OR(AND(学校マスタ!$H14&lt;&gt;"",学校マスタ!$H14&gt;=R$3,学校マスタ!$H14&lt;R$3+7),AND(学校マスタ!$J14&lt;&gt;"",学校マスタ!$J14&gt;=R$3,学校マスタ!$J14&lt;R$3+7),AND(学校マスタ!$L14&lt;&gt;"",学校マスタ!$L14&gt;=R$3,学校マスタ!$L14&lt;R$3+7)),"◆",IF(AND(学校マスタ!$O14&lt;&gt;"",学校マスタ!$P14&lt;&gt;"",学校マスタ!$O14&lt;R$3+7,学校マスタ!$P14&gt;=R$3),"█",IF(AND(学校マスタ!$R14&lt;&gt;"",学校マスタ!$U14&lt;&gt;"",学校マスタ!$R14&lt;R$3+7,学校マスタ!$U14&gt;=R$3),"▒","")))))</f>
        <v/>
      </c>
      <c r="S16" s="26">
        <f>IF(学校マスタ!$A14="","",IF(AND(学校マスタ!$U14&lt;&gt;"",学校マスタ!$U14&gt;=S$3,学校マスタ!$U14&lt;S$3+7),"◎",IF(OR(AND(学校マスタ!$H14&lt;&gt;"",学校マスタ!$H14&gt;=S$3,学校マスタ!$H14&lt;S$3+7),AND(学校マスタ!$J14&lt;&gt;"",学校マスタ!$J14&gt;=S$3,学校マスタ!$J14&lt;S$3+7),AND(学校マスタ!$L14&lt;&gt;"",学校マスタ!$L14&gt;=S$3,学校マスタ!$L14&lt;S$3+7)),"◆",IF(AND(学校マスタ!$O14&lt;&gt;"",学校マスタ!$P14&lt;&gt;"",学校マスタ!$O14&lt;S$3+7,学校マスタ!$P14&gt;=S$3),"█",IF(AND(学校マスタ!$R14&lt;&gt;"",学校マスタ!$U14&lt;&gt;"",学校マスタ!$R14&lt;S$3+7,学校マスタ!$U14&gt;=S$3),"▒","")))))</f>
        <v/>
      </c>
      <c r="T16" s="26">
        <f>IF(学校マスタ!$A14="","",IF(AND(学校マスタ!$U14&lt;&gt;"",学校マスタ!$U14&gt;=T$3,学校マスタ!$U14&lt;T$3+7),"◎",IF(OR(AND(学校マスタ!$H14&lt;&gt;"",学校マスタ!$H14&gt;=T$3,学校マスタ!$H14&lt;T$3+7),AND(学校マスタ!$J14&lt;&gt;"",学校マスタ!$J14&gt;=T$3,学校マスタ!$J14&lt;T$3+7),AND(学校マスタ!$L14&lt;&gt;"",学校マスタ!$L14&gt;=T$3,学校マスタ!$L14&lt;T$3+7)),"◆",IF(AND(学校マスタ!$O14&lt;&gt;"",学校マスタ!$P14&lt;&gt;"",学校マスタ!$O14&lt;T$3+7,学校マスタ!$P14&gt;=T$3),"█",IF(AND(学校マスタ!$R14&lt;&gt;"",学校マスタ!$U14&lt;&gt;"",学校マスタ!$R14&lt;T$3+7,学校マスタ!$U14&gt;=T$3),"▒","")))))</f>
        <v/>
      </c>
      <c r="U16" s="26">
        <f>IF(学校マスタ!$A14="","",IF(AND(学校マスタ!$U14&lt;&gt;"",学校マスタ!$U14&gt;=U$3,学校マスタ!$U14&lt;U$3+7),"◎",IF(OR(AND(学校マスタ!$H14&lt;&gt;"",学校マスタ!$H14&gt;=U$3,学校マスタ!$H14&lt;U$3+7),AND(学校マスタ!$J14&lt;&gt;"",学校マスタ!$J14&gt;=U$3,学校マスタ!$J14&lt;U$3+7),AND(学校マスタ!$L14&lt;&gt;"",学校マスタ!$L14&gt;=U$3,学校マスタ!$L14&lt;U$3+7)),"◆",IF(AND(学校マスタ!$O14&lt;&gt;"",学校マスタ!$P14&lt;&gt;"",学校マスタ!$O14&lt;U$3+7,学校マスタ!$P14&gt;=U$3),"█",IF(AND(学校マスタ!$R14&lt;&gt;"",学校マスタ!$U14&lt;&gt;"",学校マスタ!$R14&lt;U$3+7,学校マスタ!$U14&gt;=U$3),"▒","")))))</f>
        <v/>
      </c>
      <c r="V16" s="26">
        <f>IF(学校マスタ!$A14="","",IF(AND(学校マスタ!$U14&lt;&gt;"",学校マスタ!$U14&gt;=V$3,学校マスタ!$U14&lt;V$3+7),"◎",IF(OR(AND(学校マスタ!$H14&lt;&gt;"",学校マスタ!$H14&gt;=V$3,学校マスタ!$H14&lt;V$3+7),AND(学校マスタ!$J14&lt;&gt;"",学校マスタ!$J14&gt;=V$3,学校マスタ!$J14&lt;V$3+7),AND(学校マスタ!$L14&lt;&gt;"",学校マスタ!$L14&gt;=V$3,学校マスタ!$L14&lt;V$3+7)),"◆",IF(AND(学校マスタ!$O14&lt;&gt;"",学校マスタ!$P14&lt;&gt;"",学校マスタ!$O14&lt;V$3+7,学校マスタ!$P14&gt;=V$3),"█",IF(AND(学校マスタ!$R14&lt;&gt;"",学校マスタ!$U14&lt;&gt;"",学校マスタ!$R14&lt;V$3+7,学校マスタ!$U14&gt;=V$3),"▒","")))))</f>
        <v/>
      </c>
      <c r="W16" s="26">
        <f>IF(学校マスタ!$A14="","",IF(AND(学校マスタ!$U14&lt;&gt;"",学校マスタ!$U14&gt;=W$3,学校マスタ!$U14&lt;W$3+7),"◎",IF(OR(AND(学校マスタ!$H14&lt;&gt;"",学校マスタ!$H14&gt;=W$3,学校マスタ!$H14&lt;W$3+7),AND(学校マスタ!$J14&lt;&gt;"",学校マスタ!$J14&gt;=W$3,学校マスタ!$J14&lt;W$3+7),AND(学校マスタ!$L14&lt;&gt;"",学校マスタ!$L14&gt;=W$3,学校マスタ!$L14&lt;W$3+7)),"◆",IF(AND(学校マスタ!$O14&lt;&gt;"",学校マスタ!$P14&lt;&gt;"",学校マスタ!$O14&lt;W$3+7,学校マスタ!$P14&gt;=W$3),"█",IF(AND(学校マスタ!$R14&lt;&gt;"",学校マスタ!$U14&lt;&gt;"",学校マスタ!$R14&lt;W$3+7,学校マスタ!$U14&gt;=W$3),"▒","")))))</f>
        <v/>
      </c>
      <c r="X16" s="26">
        <f>IF(学校マスタ!$A14="","",IF(AND(学校マスタ!$U14&lt;&gt;"",学校マスタ!$U14&gt;=X$3,学校マスタ!$U14&lt;X$3+7),"◎",IF(OR(AND(学校マスタ!$H14&lt;&gt;"",学校マスタ!$H14&gt;=X$3,学校マスタ!$H14&lt;X$3+7),AND(学校マスタ!$J14&lt;&gt;"",学校マスタ!$J14&gt;=X$3,学校マスタ!$J14&lt;X$3+7),AND(学校マスタ!$L14&lt;&gt;"",学校マスタ!$L14&gt;=X$3,学校マスタ!$L14&lt;X$3+7)),"◆",IF(AND(学校マスタ!$O14&lt;&gt;"",学校マスタ!$P14&lt;&gt;"",学校マスタ!$O14&lt;X$3+7,学校マスタ!$P14&gt;=X$3),"█",IF(AND(学校マスタ!$R14&lt;&gt;"",学校マスタ!$U14&lt;&gt;"",学校マスタ!$R14&lt;X$3+7,学校マスタ!$U14&gt;=X$3),"▒","")))))</f>
        <v/>
      </c>
      <c r="Y16" s="26">
        <f>IF(学校マスタ!$A14="","",IF(AND(学校マスタ!$U14&lt;&gt;"",学校マスタ!$U14&gt;=Y$3,学校マスタ!$U14&lt;Y$3+7),"◎",IF(OR(AND(学校マスタ!$H14&lt;&gt;"",学校マスタ!$H14&gt;=Y$3,学校マスタ!$H14&lt;Y$3+7),AND(学校マスタ!$J14&lt;&gt;"",学校マスタ!$J14&gt;=Y$3,学校マスタ!$J14&lt;Y$3+7),AND(学校マスタ!$L14&lt;&gt;"",学校マスタ!$L14&gt;=Y$3,学校マスタ!$L14&lt;Y$3+7)),"◆",IF(AND(学校マスタ!$O14&lt;&gt;"",学校マスタ!$P14&lt;&gt;"",学校マスタ!$O14&lt;Y$3+7,学校マスタ!$P14&gt;=Y$3),"█",IF(AND(学校マスタ!$R14&lt;&gt;"",学校マスタ!$U14&lt;&gt;"",学校マスタ!$R14&lt;Y$3+7,学校マスタ!$U14&gt;=Y$3),"▒","")))))</f>
        <v/>
      </c>
      <c r="Z16" s="26">
        <f>IF(学校マスタ!$A14="","",IF(AND(学校マスタ!$U14&lt;&gt;"",学校マスタ!$U14&gt;=Z$3,学校マスタ!$U14&lt;Z$3+7),"◎",IF(OR(AND(学校マスタ!$H14&lt;&gt;"",学校マスタ!$H14&gt;=Z$3,学校マスタ!$H14&lt;Z$3+7),AND(学校マスタ!$J14&lt;&gt;"",学校マスタ!$J14&gt;=Z$3,学校マスタ!$J14&lt;Z$3+7),AND(学校マスタ!$L14&lt;&gt;"",学校マスタ!$L14&gt;=Z$3,学校マスタ!$L14&lt;Z$3+7)),"◆",IF(AND(学校マスタ!$O14&lt;&gt;"",学校マスタ!$P14&lt;&gt;"",学校マスタ!$O14&lt;Z$3+7,学校マスタ!$P14&gt;=Z$3),"█",IF(AND(学校マスタ!$R14&lt;&gt;"",学校マスタ!$U14&lt;&gt;"",学校マスタ!$R14&lt;Z$3+7,学校マスタ!$U14&gt;=Z$3),"▒","")))))</f>
        <v/>
      </c>
      <c r="AA16" s="26">
        <f>IF(学校マスタ!$A14="","",IF(AND(学校マスタ!$U14&lt;&gt;"",学校マスタ!$U14&gt;=AA$3,学校マスタ!$U14&lt;AA$3+7),"◎",IF(OR(AND(学校マスタ!$H14&lt;&gt;"",学校マスタ!$H14&gt;=AA$3,学校マスタ!$H14&lt;AA$3+7),AND(学校マスタ!$J14&lt;&gt;"",学校マスタ!$J14&gt;=AA$3,学校マスタ!$J14&lt;AA$3+7),AND(学校マスタ!$L14&lt;&gt;"",学校マスタ!$L14&gt;=AA$3,学校マスタ!$L14&lt;AA$3+7)),"◆",IF(AND(学校マスタ!$O14&lt;&gt;"",学校マスタ!$P14&lt;&gt;"",学校マスタ!$O14&lt;AA$3+7,学校マスタ!$P14&gt;=AA$3),"█",IF(AND(学校マスタ!$R14&lt;&gt;"",学校マスタ!$U14&lt;&gt;"",学校マスタ!$R14&lt;AA$3+7,学校マスタ!$U14&gt;=AA$3),"▒","")))))</f>
        <v/>
      </c>
      <c r="AB16" s="26">
        <f>IF(学校マスタ!$A14="","",IF(AND(学校マスタ!$U14&lt;&gt;"",学校マスタ!$U14&gt;=AB$3,学校マスタ!$U14&lt;AB$3+7),"◎",IF(OR(AND(学校マスタ!$H14&lt;&gt;"",学校マスタ!$H14&gt;=AB$3,学校マスタ!$H14&lt;AB$3+7),AND(学校マスタ!$J14&lt;&gt;"",学校マスタ!$J14&gt;=AB$3,学校マスタ!$J14&lt;AB$3+7),AND(学校マスタ!$L14&lt;&gt;"",学校マスタ!$L14&gt;=AB$3,学校マスタ!$L14&lt;AB$3+7)),"◆",IF(AND(学校マスタ!$O14&lt;&gt;"",学校マスタ!$P14&lt;&gt;"",学校マスタ!$O14&lt;AB$3+7,学校マスタ!$P14&gt;=AB$3),"█",IF(AND(学校マスタ!$R14&lt;&gt;"",学校マスタ!$U14&lt;&gt;"",学校マスタ!$R14&lt;AB$3+7,学校マスタ!$U14&gt;=AB$3),"▒","")))))</f>
        <v/>
      </c>
    </row>
    <row r="17">
      <c r="A17" s="19">
        <f>IF(学校マスタ!$A15="","",学校マスタ!$A15)</f>
        <v/>
      </c>
      <c r="B17" s="19">
        <f>IF(学校マスタ!$A15="","",学校マスタ!$C15)</f>
        <v/>
      </c>
      <c r="C17" s="19">
        <f>IF(学校マスタ!$A15="","",学校マスタ!$X15)</f>
        <v/>
      </c>
      <c r="D17" s="25">
        <f>IF(学校マスタ!$A15="","",学校マスタ!$R15)</f>
        <v/>
      </c>
      <c r="E17" s="26">
        <f>IF(学校マスタ!$A15="","",IF(AND(学校マスタ!$U15&lt;&gt;"",学校マスタ!$U15&gt;=E$3,学校マスタ!$U15&lt;E$3+7),"◎",IF(OR(AND(学校マスタ!$H15&lt;&gt;"",学校マスタ!$H15&gt;=E$3,学校マスタ!$H15&lt;E$3+7),AND(学校マスタ!$J15&lt;&gt;"",学校マスタ!$J15&gt;=E$3,学校マスタ!$J15&lt;E$3+7),AND(学校マスタ!$L15&lt;&gt;"",学校マスタ!$L15&gt;=E$3,学校マスタ!$L15&lt;E$3+7)),"◆",IF(AND(学校マスタ!$O15&lt;&gt;"",学校マスタ!$P15&lt;&gt;"",学校マスタ!$O15&lt;E$3+7,学校マスタ!$P15&gt;=E$3),"█",IF(AND(学校マスタ!$R15&lt;&gt;"",学校マスタ!$U15&lt;&gt;"",学校マスタ!$R15&lt;E$3+7,学校マスタ!$U15&gt;=E$3),"▒","")))))</f>
        <v/>
      </c>
      <c r="F17" s="26">
        <f>IF(学校マスタ!$A15="","",IF(AND(学校マスタ!$U15&lt;&gt;"",学校マスタ!$U15&gt;=F$3,学校マスタ!$U15&lt;F$3+7),"◎",IF(OR(AND(学校マスタ!$H15&lt;&gt;"",学校マスタ!$H15&gt;=F$3,学校マスタ!$H15&lt;F$3+7),AND(学校マスタ!$J15&lt;&gt;"",学校マスタ!$J15&gt;=F$3,学校マスタ!$J15&lt;F$3+7),AND(学校マスタ!$L15&lt;&gt;"",学校マスタ!$L15&gt;=F$3,学校マスタ!$L15&lt;F$3+7)),"◆",IF(AND(学校マスタ!$O15&lt;&gt;"",学校マスタ!$P15&lt;&gt;"",学校マスタ!$O15&lt;F$3+7,学校マスタ!$P15&gt;=F$3),"█",IF(AND(学校マスタ!$R15&lt;&gt;"",学校マスタ!$U15&lt;&gt;"",学校マスタ!$R15&lt;F$3+7,学校マスタ!$U15&gt;=F$3),"▒","")))))</f>
        <v/>
      </c>
      <c r="G17" s="26">
        <f>IF(学校マスタ!$A15="","",IF(AND(学校マスタ!$U15&lt;&gt;"",学校マスタ!$U15&gt;=G$3,学校マスタ!$U15&lt;G$3+7),"◎",IF(OR(AND(学校マスタ!$H15&lt;&gt;"",学校マスタ!$H15&gt;=G$3,学校マスタ!$H15&lt;G$3+7),AND(学校マスタ!$J15&lt;&gt;"",学校マスタ!$J15&gt;=G$3,学校マスタ!$J15&lt;G$3+7),AND(学校マスタ!$L15&lt;&gt;"",学校マスタ!$L15&gt;=G$3,学校マスタ!$L15&lt;G$3+7)),"◆",IF(AND(学校マスタ!$O15&lt;&gt;"",学校マスタ!$P15&lt;&gt;"",学校マスタ!$O15&lt;G$3+7,学校マスタ!$P15&gt;=G$3),"█",IF(AND(学校マスタ!$R15&lt;&gt;"",学校マスタ!$U15&lt;&gt;"",学校マスタ!$R15&lt;G$3+7,学校マスタ!$U15&gt;=G$3),"▒","")))))</f>
        <v/>
      </c>
      <c r="H17" s="26">
        <f>IF(学校マスタ!$A15="","",IF(AND(学校マスタ!$U15&lt;&gt;"",学校マスタ!$U15&gt;=H$3,学校マスタ!$U15&lt;H$3+7),"◎",IF(OR(AND(学校マスタ!$H15&lt;&gt;"",学校マスタ!$H15&gt;=H$3,学校マスタ!$H15&lt;H$3+7),AND(学校マスタ!$J15&lt;&gt;"",学校マスタ!$J15&gt;=H$3,学校マスタ!$J15&lt;H$3+7),AND(学校マスタ!$L15&lt;&gt;"",学校マスタ!$L15&gt;=H$3,学校マスタ!$L15&lt;H$3+7)),"◆",IF(AND(学校マスタ!$O15&lt;&gt;"",学校マスタ!$P15&lt;&gt;"",学校マスタ!$O15&lt;H$3+7,学校マスタ!$P15&gt;=H$3),"█",IF(AND(学校マスタ!$R15&lt;&gt;"",学校マスタ!$U15&lt;&gt;"",学校マスタ!$R15&lt;H$3+7,学校マスタ!$U15&gt;=H$3),"▒","")))))</f>
        <v/>
      </c>
      <c r="I17" s="26">
        <f>IF(学校マスタ!$A15="","",IF(AND(学校マスタ!$U15&lt;&gt;"",学校マスタ!$U15&gt;=I$3,学校マスタ!$U15&lt;I$3+7),"◎",IF(OR(AND(学校マスタ!$H15&lt;&gt;"",学校マスタ!$H15&gt;=I$3,学校マスタ!$H15&lt;I$3+7),AND(学校マスタ!$J15&lt;&gt;"",学校マスタ!$J15&gt;=I$3,学校マスタ!$J15&lt;I$3+7),AND(学校マスタ!$L15&lt;&gt;"",学校マスタ!$L15&gt;=I$3,学校マスタ!$L15&lt;I$3+7)),"◆",IF(AND(学校マスタ!$O15&lt;&gt;"",学校マスタ!$P15&lt;&gt;"",学校マスタ!$O15&lt;I$3+7,学校マスタ!$P15&gt;=I$3),"█",IF(AND(学校マスタ!$R15&lt;&gt;"",学校マスタ!$U15&lt;&gt;"",学校マスタ!$R15&lt;I$3+7,学校マスタ!$U15&gt;=I$3),"▒","")))))</f>
        <v/>
      </c>
      <c r="J17" s="26">
        <f>IF(学校マスタ!$A15="","",IF(AND(学校マスタ!$U15&lt;&gt;"",学校マスタ!$U15&gt;=J$3,学校マスタ!$U15&lt;J$3+7),"◎",IF(OR(AND(学校マスタ!$H15&lt;&gt;"",学校マスタ!$H15&gt;=J$3,学校マスタ!$H15&lt;J$3+7),AND(学校マスタ!$J15&lt;&gt;"",学校マスタ!$J15&gt;=J$3,学校マスタ!$J15&lt;J$3+7),AND(学校マスタ!$L15&lt;&gt;"",学校マスタ!$L15&gt;=J$3,学校マスタ!$L15&lt;J$3+7)),"◆",IF(AND(学校マスタ!$O15&lt;&gt;"",学校マスタ!$P15&lt;&gt;"",学校マスタ!$O15&lt;J$3+7,学校マスタ!$P15&gt;=J$3),"█",IF(AND(学校マスタ!$R15&lt;&gt;"",学校マスタ!$U15&lt;&gt;"",学校マスタ!$R15&lt;J$3+7,学校マスタ!$U15&gt;=J$3),"▒","")))))</f>
        <v/>
      </c>
      <c r="K17" s="26">
        <f>IF(学校マスタ!$A15="","",IF(AND(学校マスタ!$U15&lt;&gt;"",学校マスタ!$U15&gt;=K$3,学校マスタ!$U15&lt;K$3+7),"◎",IF(OR(AND(学校マスタ!$H15&lt;&gt;"",学校マスタ!$H15&gt;=K$3,学校マスタ!$H15&lt;K$3+7),AND(学校マスタ!$J15&lt;&gt;"",学校マスタ!$J15&gt;=K$3,学校マスタ!$J15&lt;K$3+7),AND(学校マスタ!$L15&lt;&gt;"",学校マスタ!$L15&gt;=K$3,学校マスタ!$L15&lt;K$3+7)),"◆",IF(AND(学校マスタ!$O15&lt;&gt;"",学校マスタ!$P15&lt;&gt;"",学校マスタ!$O15&lt;K$3+7,学校マスタ!$P15&gt;=K$3),"█",IF(AND(学校マスタ!$R15&lt;&gt;"",学校マスタ!$U15&lt;&gt;"",学校マスタ!$R15&lt;K$3+7,学校マスタ!$U15&gt;=K$3),"▒","")))))</f>
        <v/>
      </c>
      <c r="L17" s="26">
        <f>IF(学校マスタ!$A15="","",IF(AND(学校マスタ!$U15&lt;&gt;"",学校マスタ!$U15&gt;=L$3,学校マスタ!$U15&lt;L$3+7),"◎",IF(OR(AND(学校マスタ!$H15&lt;&gt;"",学校マスタ!$H15&gt;=L$3,学校マスタ!$H15&lt;L$3+7),AND(学校マスタ!$J15&lt;&gt;"",学校マスタ!$J15&gt;=L$3,学校マスタ!$J15&lt;L$3+7),AND(学校マスタ!$L15&lt;&gt;"",学校マスタ!$L15&gt;=L$3,学校マスタ!$L15&lt;L$3+7)),"◆",IF(AND(学校マスタ!$O15&lt;&gt;"",学校マスタ!$P15&lt;&gt;"",学校マスタ!$O15&lt;L$3+7,学校マスタ!$P15&gt;=L$3),"█",IF(AND(学校マスタ!$R15&lt;&gt;"",学校マスタ!$U15&lt;&gt;"",学校マスタ!$R15&lt;L$3+7,学校マスタ!$U15&gt;=L$3),"▒","")))))</f>
        <v/>
      </c>
      <c r="M17" s="26">
        <f>IF(学校マスタ!$A15="","",IF(AND(学校マスタ!$U15&lt;&gt;"",学校マスタ!$U15&gt;=M$3,学校マスタ!$U15&lt;M$3+7),"◎",IF(OR(AND(学校マスタ!$H15&lt;&gt;"",学校マスタ!$H15&gt;=M$3,学校マスタ!$H15&lt;M$3+7),AND(学校マスタ!$J15&lt;&gt;"",学校マスタ!$J15&gt;=M$3,学校マスタ!$J15&lt;M$3+7),AND(学校マスタ!$L15&lt;&gt;"",学校マスタ!$L15&gt;=M$3,学校マスタ!$L15&lt;M$3+7)),"◆",IF(AND(学校マスタ!$O15&lt;&gt;"",学校マスタ!$P15&lt;&gt;"",学校マスタ!$O15&lt;M$3+7,学校マスタ!$P15&gt;=M$3),"█",IF(AND(学校マスタ!$R15&lt;&gt;"",学校マスタ!$U15&lt;&gt;"",学校マスタ!$R15&lt;M$3+7,学校マスタ!$U15&gt;=M$3),"▒","")))))</f>
        <v/>
      </c>
      <c r="N17" s="26">
        <f>IF(学校マスタ!$A15="","",IF(AND(学校マスタ!$U15&lt;&gt;"",学校マスタ!$U15&gt;=N$3,学校マスタ!$U15&lt;N$3+7),"◎",IF(OR(AND(学校マスタ!$H15&lt;&gt;"",学校マスタ!$H15&gt;=N$3,学校マスタ!$H15&lt;N$3+7),AND(学校マスタ!$J15&lt;&gt;"",学校マスタ!$J15&gt;=N$3,学校マスタ!$J15&lt;N$3+7),AND(学校マスタ!$L15&lt;&gt;"",学校マスタ!$L15&gt;=N$3,学校マスタ!$L15&lt;N$3+7)),"◆",IF(AND(学校マスタ!$O15&lt;&gt;"",学校マスタ!$P15&lt;&gt;"",学校マスタ!$O15&lt;N$3+7,学校マスタ!$P15&gt;=N$3),"█",IF(AND(学校マスタ!$R15&lt;&gt;"",学校マスタ!$U15&lt;&gt;"",学校マスタ!$R15&lt;N$3+7,学校マスタ!$U15&gt;=N$3),"▒","")))))</f>
        <v/>
      </c>
      <c r="O17" s="26">
        <f>IF(学校マスタ!$A15="","",IF(AND(学校マスタ!$U15&lt;&gt;"",学校マスタ!$U15&gt;=O$3,学校マスタ!$U15&lt;O$3+7),"◎",IF(OR(AND(学校マスタ!$H15&lt;&gt;"",学校マスタ!$H15&gt;=O$3,学校マスタ!$H15&lt;O$3+7),AND(学校マスタ!$J15&lt;&gt;"",学校マスタ!$J15&gt;=O$3,学校マスタ!$J15&lt;O$3+7),AND(学校マスタ!$L15&lt;&gt;"",学校マスタ!$L15&gt;=O$3,学校マスタ!$L15&lt;O$3+7)),"◆",IF(AND(学校マスタ!$O15&lt;&gt;"",学校マスタ!$P15&lt;&gt;"",学校マスタ!$O15&lt;O$3+7,学校マスタ!$P15&gt;=O$3),"█",IF(AND(学校マスタ!$R15&lt;&gt;"",学校マスタ!$U15&lt;&gt;"",学校マスタ!$R15&lt;O$3+7,学校マスタ!$U15&gt;=O$3),"▒","")))))</f>
        <v/>
      </c>
      <c r="P17" s="26">
        <f>IF(学校マスタ!$A15="","",IF(AND(学校マスタ!$U15&lt;&gt;"",学校マスタ!$U15&gt;=P$3,学校マスタ!$U15&lt;P$3+7),"◎",IF(OR(AND(学校マスタ!$H15&lt;&gt;"",学校マスタ!$H15&gt;=P$3,学校マスタ!$H15&lt;P$3+7),AND(学校マスタ!$J15&lt;&gt;"",学校マスタ!$J15&gt;=P$3,学校マスタ!$J15&lt;P$3+7),AND(学校マスタ!$L15&lt;&gt;"",学校マスタ!$L15&gt;=P$3,学校マスタ!$L15&lt;P$3+7)),"◆",IF(AND(学校マスタ!$O15&lt;&gt;"",学校マスタ!$P15&lt;&gt;"",学校マスタ!$O15&lt;P$3+7,学校マスタ!$P15&gt;=P$3),"█",IF(AND(学校マスタ!$R15&lt;&gt;"",学校マスタ!$U15&lt;&gt;"",学校マスタ!$R15&lt;P$3+7,学校マスタ!$U15&gt;=P$3),"▒","")))))</f>
        <v/>
      </c>
      <c r="Q17" s="26">
        <f>IF(学校マスタ!$A15="","",IF(AND(学校マスタ!$U15&lt;&gt;"",学校マスタ!$U15&gt;=Q$3,学校マスタ!$U15&lt;Q$3+7),"◎",IF(OR(AND(学校マスタ!$H15&lt;&gt;"",学校マスタ!$H15&gt;=Q$3,学校マスタ!$H15&lt;Q$3+7),AND(学校マスタ!$J15&lt;&gt;"",学校マスタ!$J15&gt;=Q$3,学校マスタ!$J15&lt;Q$3+7),AND(学校マスタ!$L15&lt;&gt;"",学校マスタ!$L15&gt;=Q$3,学校マスタ!$L15&lt;Q$3+7)),"◆",IF(AND(学校マスタ!$O15&lt;&gt;"",学校マスタ!$P15&lt;&gt;"",学校マスタ!$O15&lt;Q$3+7,学校マスタ!$P15&gt;=Q$3),"█",IF(AND(学校マスタ!$R15&lt;&gt;"",学校マスタ!$U15&lt;&gt;"",学校マスタ!$R15&lt;Q$3+7,学校マスタ!$U15&gt;=Q$3),"▒","")))))</f>
        <v/>
      </c>
      <c r="R17" s="26">
        <f>IF(学校マスタ!$A15="","",IF(AND(学校マスタ!$U15&lt;&gt;"",学校マスタ!$U15&gt;=R$3,学校マスタ!$U15&lt;R$3+7),"◎",IF(OR(AND(学校マスタ!$H15&lt;&gt;"",学校マスタ!$H15&gt;=R$3,学校マスタ!$H15&lt;R$3+7),AND(学校マスタ!$J15&lt;&gt;"",学校マスタ!$J15&gt;=R$3,学校マスタ!$J15&lt;R$3+7),AND(学校マスタ!$L15&lt;&gt;"",学校マスタ!$L15&gt;=R$3,学校マスタ!$L15&lt;R$3+7)),"◆",IF(AND(学校マスタ!$O15&lt;&gt;"",学校マスタ!$P15&lt;&gt;"",学校マスタ!$O15&lt;R$3+7,学校マスタ!$P15&gt;=R$3),"█",IF(AND(学校マスタ!$R15&lt;&gt;"",学校マスタ!$U15&lt;&gt;"",学校マスタ!$R15&lt;R$3+7,学校マスタ!$U15&gt;=R$3),"▒","")))))</f>
        <v/>
      </c>
      <c r="S17" s="26">
        <f>IF(学校マスタ!$A15="","",IF(AND(学校マスタ!$U15&lt;&gt;"",学校マスタ!$U15&gt;=S$3,学校マスタ!$U15&lt;S$3+7),"◎",IF(OR(AND(学校マスタ!$H15&lt;&gt;"",学校マスタ!$H15&gt;=S$3,学校マスタ!$H15&lt;S$3+7),AND(学校マスタ!$J15&lt;&gt;"",学校マスタ!$J15&gt;=S$3,学校マスタ!$J15&lt;S$3+7),AND(学校マスタ!$L15&lt;&gt;"",学校マスタ!$L15&gt;=S$3,学校マスタ!$L15&lt;S$3+7)),"◆",IF(AND(学校マスタ!$O15&lt;&gt;"",学校マスタ!$P15&lt;&gt;"",学校マスタ!$O15&lt;S$3+7,学校マスタ!$P15&gt;=S$3),"█",IF(AND(学校マスタ!$R15&lt;&gt;"",学校マスタ!$U15&lt;&gt;"",学校マスタ!$R15&lt;S$3+7,学校マスタ!$U15&gt;=S$3),"▒","")))))</f>
        <v/>
      </c>
      <c r="T17" s="26">
        <f>IF(学校マスタ!$A15="","",IF(AND(学校マスタ!$U15&lt;&gt;"",学校マスタ!$U15&gt;=T$3,学校マスタ!$U15&lt;T$3+7),"◎",IF(OR(AND(学校マスタ!$H15&lt;&gt;"",学校マスタ!$H15&gt;=T$3,学校マスタ!$H15&lt;T$3+7),AND(学校マスタ!$J15&lt;&gt;"",学校マスタ!$J15&gt;=T$3,学校マスタ!$J15&lt;T$3+7),AND(学校マスタ!$L15&lt;&gt;"",学校マスタ!$L15&gt;=T$3,学校マスタ!$L15&lt;T$3+7)),"◆",IF(AND(学校マスタ!$O15&lt;&gt;"",学校マスタ!$P15&lt;&gt;"",学校マスタ!$O15&lt;T$3+7,学校マスタ!$P15&gt;=T$3),"█",IF(AND(学校マスタ!$R15&lt;&gt;"",学校マスタ!$U15&lt;&gt;"",学校マスタ!$R15&lt;T$3+7,学校マスタ!$U15&gt;=T$3),"▒","")))))</f>
        <v/>
      </c>
      <c r="U17" s="26">
        <f>IF(学校マスタ!$A15="","",IF(AND(学校マスタ!$U15&lt;&gt;"",学校マスタ!$U15&gt;=U$3,学校マスタ!$U15&lt;U$3+7),"◎",IF(OR(AND(学校マスタ!$H15&lt;&gt;"",学校マスタ!$H15&gt;=U$3,学校マスタ!$H15&lt;U$3+7),AND(学校マスタ!$J15&lt;&gt;"",学校マスタ!$J15&gt;=U$3,学校マスタ!$J15&lt;U$3+7),AND(学校マスタ!$L15&lt;&gt;"",学校マスタ!$L15&gt;=U$3,学校マスタ!$L15&lt;U$3+7)),"◆",IF(AND(学校マスタ!$O15&lt;&gt;"",学校マスタ!$P15&lt;&gt;"",学校マスタ!$O15&lt;U$3+7,学校マスタ!$P15&gt;=U$3),"█",IF(AND(学校マスタ!$R15&lt;&gt;"",学校マスタ!$U15&lt;&gt;"",学校マスタ!$R15&lt;U$3+7,学校マスタ!$U15&gt;=U$3),"▒","")))))</f>
        <v/>
      </c>
      <c r="V17" s="26">
        <f>IF(学校マスタ!$A15="","",IF(AND(学校マスタ!$U15&lt;&gt;"",学校マスタ!$U15&gt;=V$3,学校マスタ!$U15&lt;V$3+7),"◎",IF(OR(AND(学校マスタ!$H15&lt;&gt;"",学校マスタ!$H15&gt;=V$3,学校マスタ!$H15&lt;V$3+7),AND(学校マスタ!$J15&lt;&gt;"",学校マスタ!$J15&gt;=V$3,学校マスタ!$J15&lt;V$3+7),AND(学校マスタ!$L15&lt;&gt;"",学校マスタ!$L15&gt;=V$3,学校マスタ!$L15&lt;V$3+7)),"◆",IF(AND(学校マスタ!$O15&lt;&gt;"",学校マスタ!$P15&lt;&gt;"",学校マスタ!$O15&lt;V$3+7,学校マスタ!$P15&gt;=V$3),"█",IF(AND(学校マスタ!$R15&lt;&gt;"",学校マスタ!$U15&lt;&gt;"",学校マスタ!$R15&lt;V$3+7,学校マスタ!$U15&gt;=V$3),"▒","")))))</f>
        <v/>
      </c>
      <c r="W17" s="26">
        <f>IF(学校マスタ!$A15="","",IF(AND(学校マスタ!$U15&lt;&gt;"",学校マスタ!$U15&gt;=W$3,学校マスタ!$U15&lt;W$3+7),"◎",IF(OR(AND(学校マスタ!$H15&lt;&gt;"",学校マスタ!$H15&gt;=W$3,学校マスタ!$H15&lt;W$3+7),AND(学校マスタ!$J15&lt;&gt;"",学校マスタ!$J15&gt;=W$3,学校マスタ!$J15&lt;W$3+7),AND(学校マスタ!$L15&lt;&gt;"",学校マスタ!$L15&gt;=W$3,学校マスタ!$L15&lt;W$3+7)),"◆",IF(AND(学校マスタ!$O15&lt;&gt;"",学校マスタ!$P15&lt;&gt;"",学校マスタ!$O15&lt;W$3+7,学校マスタ!$P15&gt;=W$3),"█",IF(AND(学校マスタ!$R15&lt;&gt;"",学校マスタ!$U15&lt;&gt;"",学校マスタ!$R15&lt;W$3+7,学校マスタ!$U15&gt;=W$3),"▒","")))))</f>
        <v/>
      </c>
      <c r="X17" s="26">
        <f>IF(学校マスタ!$A15="","",IF(AND(学校マスタ!$U15&lt;&gt;"",学校マスタ!$U15&gt;=X$3,学校マスタ!$U15&lt;X$3+7),"◎",IF(OR(AND(学校マスタ!$H15&lt;&gt;"",学校マスタ!$H15&gt;=X$3,学校マスタ!$H15&lt;X$3+7),AND(学校マスタ!$J15&lt;&gt;"",学校マスタ!$J15&gt;=X$3,学校マスタ!$J15&lt;X$3+7),AND(学校マスタ!$L15&lt;&gt;"",学校マスタ!$L15&gt;=X$3,学校マスタ!$L15&lt;X$3+7)),"◆",IF(AND(学校マスタ!$O15&lt;&gt;"",学校マスタ!$P15&lt;&gt;"",学校マスタ!$O15&lt;X$3+7,学校マスタ!$P15&gt;=X$3),"█",IF(AND(学校マスタ!$R15&lt;&gt;"",学校マスタ!$U15&lt;&gt;"",学校マスタ!$R15&lt;X$3+7,学校マスタ!$U15&gt;=X$3),"▒","")))))</f>
        <v/>
      </c>
      <c r="Y17" s="26">
        <f>IF(学校マスタ!$A15="","",IF(AND(学校マスタ!$U15&lt;&gt;"",学校マスタ!$U15&gt;=Y$3,学校マスタ!$U15&lt;Y$3+7),"◎",IF(OR(AND(学校マスタ!$H15&lt;&gt;"",学校マスタ!$H15&gt;=Y$3,学校マスタ!$H15&lt;Y$3+7),AND(学校マスタ!$J15&lt;&gt;"",学校マスタ!$J15&gt;=Y$3,学校マスタ!$J15&lt;Y$3+7),AND(学校マスタ!$L15&lt;&gt;"",学校マスタ!$L15&gt;=Y$3,学校マスタ!$L15&lt;Y$3+7)),"◆",IF(AND(学校マスタ!$O15&lt;&gt;"",学校マスタ!$P15&lt;&gt;"",学校マスタ!$O15&lt;Y$3+7,学校マスタ!$P15&gt;=Y$3),"█",IF(AND(学校マスタ!$R15&lt;&gt;"",学校マスタ!$U15&lt;&gt;"",学校マスタ!$R15&lt;Y$3+7,学校マスタ!$U15&gt;=Y$3),"▒","")))))</f>
        <v/>
      </c>
      <c r="Z17" s="26">
        <f>IF(学校マスタ!$A15="","",IF(AND(学校マスタ!$U15&lt;&gt;"",学校マスタ!$U15&gt;=Z$3,学校マスタ!$U15&lt;Z$3+7),"◎",IF(OR(AND(学校マスタ!$H15&lt;&gt;"",学校マスタ!$H15&gt;=Z$3,学校マスタ!$H15&lt;Z$3+7),AND(学校マスタ!$J15&lt;&gt;"",学校マスタ!$J15&gt;=Z$3,学校マスタ!$J15&lt;Z$3+7),AND(学校マスタ!$L15&lt;&gt;"",学校マスタ!$L15&gt;=Z$3,学校マスタ!$L15&lt;Z$3+7)),"◆",IF(AND(学校マスタ!$O15&lt;&gt;"",学校マスタ!$P15&lt;&gt;"",学校マスタ!$O15&lt;Z$3+7,学校マスタ!$P15&gt;=Z$3),"█",IF(AND(学校マスタ!$R15&lt;&gt;"",学校マスタ!$U15&lt;&gt;"",学校マスタ!$R15&lt;Z$3+7,学校マスタ!$U15&gt;=Z$3),"▒","")))))</f>
        <v/>
      </c>
      <c r="AA17" s="26">
        <f>IF(学校マスタ!$A15="","",IF(AND(学校マスタ!$U15&lt;&gt;"",学校マスタ!$U15&gt;=AA$3,学校マスタ!$U15&lt;AA$3+7),"◎",IF(OR(AND(学校マスタ!$H15&lt;&gt;"",学校マスタ!$H15&gt;=AA$3,学校マスタ!$H15&lt;AA$3+7),AND(学校マスタ!$J15&lt;&gt;"",学校マスタ!$J15&gt;=AA$3,学校マスタ!$J15&lt;AA$3+7),AND(学校マスタ!$L15&lt;&gt;"",学校マスタ!$L15&gt;=AA$3,学校マスタ!$L15&lt;AA$3+7)),"◆",IF(AND(学校マスタ!$O15&lt;&gt;"",学校マスタ!$P15&lt;&gt;"",学校マスタ!$O15&lt;AA$3+7,学校マスタ!$P15&gt;=AA$3),"█",IF(AND(学校マスタ!$R15&lt;&gt;"",学校マスタ!$U15&lt;&gt;"",学校マスタ!$R15&lt;AA$3+7,学校マスタ!$U15&gt;=AA$3),"▒","")))))</f>
        <v/>
      </c>
      <c r="AB17" s="26">
        <f>IF(学校マスタ!$A15="","",IF(AND(学校マスタ!$U15&lt;&gt;"",学校マスタ!$U15&gt;=AB$3,学校マスタ!$U15&lt;AB$3+7),"◎",IF(OR(AND(学校マスタ!$H15&lt;&gt;"",学校マスタ!$H15&gt;=AB$3,学校マスタ!$H15&lt;AB$3+7),AND(学校マスタ!$J15&lt;&gt;"",学校マスタ!$J15&gt;=AB$3,学校マスタ!$J15&lt;AB$3+7),AND(学校マスタ!$L15&lt;&gt;"",学校マスタ!$L15&gt;=AB$3,学校マスタ!$L15&lt;AB$3+7)),"◆",IF(AND(学校マスタ!$O15&lt;&gt;"",学校マスタ!$P15&lt;&gt;"",学校マスタ!$O15&lt;AB$3+7,学校マスタ!$P15&gt;=AB$3),"█",IF(AND(学校マスタ!$R15&lt;&gt;"",学校マスタ!$U15&lt;&gt;"",学校マスタ!$R15&lt;AB$3+7,学校マスタ!$U15&gt;=AB$3),"▒","")))))</f>
        <v/>
      </c>
    </row>
    <row r="18">
      <c r="A18" s="19">
        <f>IF(学校マスタ!$A16="","",学校マスタ!$A16)</f>
        <v/>
      </c>
      <c r="B18" s="19">
        <f>IF(学校マスタ!$A16="","",学校マスタ!$C16)</f>
        <v/>
      </c>
      <c r="C18" s="19">
        <f>IF(学校マスタ!$A16="","",学校マスタ!$X16)</f>
        <v/>
      </c>
      <c r="D18" s="25">
        <f>IF(学校マスタ!$A16="","",学校マスタ!$R16)</f>
        <v/>
      </c>
      <c r="E18" s="26">
        <f>IF(学校マスタ!$A16="","",IF(AND(学校マスタ!$U16&lt;&gt;"",学校マスタ!$U16&gt;=E$3,学校マスタ!$U16&lt;E$3+7),"◎",IF(OR(AND(学校マスタ!$H16&lt;&gt;"",学校マスタ!$H16&gt;=E$3,学校マスタ!$H16&lt;E$3+7),AND(学校マスタ!$J16&lt;&gt;"",学校マスタ!$J16&gt;=E$3,学校マスタ!$J16&lt;E$3+7),AND(学校マスタ!$L16&lt;&gt;"",学校マスタ!$L16&gt;=E$3,学校マスタ!$L16&lt;E$3+7)),"◆",IF(AND(学校マスタ!$O16&lt;&gt;"",学校マスタ!$P16&lt;&gt;"",学校マスタ!$O16&lt;E$3+7,学校マスタ!$P16&gt;=E$3),"█",IF(AND(学校マスタ!$R16&lt;&gt;"",学校マスタ!$U16&lt;&gt;"",学校マスタ!$R16&lt;E$3+7,学校マスタ!$U16&gt;=E$3),"▒","")))))</f>
        <v/>
      </c>
      <c r="F18" s="26">
        <f>IF(学校マスタ!$A16="","",IF(AND(学校マスタ!$U16&lt;&gt;"",学校マスタ!$U16&gt;=F$3,学校マスタ!$U16&lt;F$3+7),"◎",IF(OR(AND(学校マスタ!$H16&lt;&gt;"",学校マスタ!$H16&gt;=F$3,学校マスタ!$H16&lt;F$3+7),AND(学校マスタ!$J16&lt;&gt;"",学校マスタ!$J16&gt;=F$3,学校マスタ!$J16&lt;F$3+7),AND(学校マスタ!$L16&lt;&gt;"",学校マスタ!$L16&gt;=F$3,学校マスタ!$L16&lt;F$3+7)),"◆",IF(AND(学校マスタ!$O16&lt;&gt;"",学校マスタ!$P16&lt;&gt;"",学校マスタ!$O16&lt;F$3+7,学校マスタ!$P16&gt;=F$3),"█",IF(AND(学校マスタ!$R16&lt;&gt;"",学校マスタ!$U16&lt;&gt;"",学校マスタ!$R16&lt;F$3+7,学校マスタ!$U16&gt;=F$3),"▒","")))))</f>
        <v/>
      </c>
      <c r="G18" s="26">
        <f>IF(学校マスタ!$A16="","",IF(AND(学校マスタ!$U16&lt;&gt;"",学校マスタ!$U16&gt;=G$3,学校マスタ!$U16&lt;G$3+7),"◎",IF(OR(AND(学校マスタ!$H16&lt;&gt;"",学校マスタ!$H16&gt;=G$3,学校マスタ!$H16&lt;G$3+7),AND(学校マスタ!$J16&lt;&gt;"",学校マスタ!$J16&gt;=G$3,学校マスタ!$J16&lt;G$3+7),AND(学校マスタ!$L16&lt;&gt;"",学校マスタ!$L16&gt;=G$3,学校マスタ!$L16&lt;G$3+7)),"◆",IF(AND(学校マスタ!$O16&lt;&gt;"",学校マスタ!$P16&lt;&gt;"",学校マスタ!$O16&lt;G$3+7,学校マスタ!$P16&gt;=G$3),"█",IF(AND(学校マスタ!$R16&lt;&gt;"",学校マスタ!$U16&lt;&gt;"",学校マスタ!$R16&lt;G$3+7,学校マスタ!$U16&gt;=G$3),"▒","")))))</f>
        <v/>
      </c>
      <c r="H18" s="26">
        <f>IF(学校マスタ!$A16="","",IF(AND(学校マスタ!$U16&lt;&gt;"",学校マスタ!$U16&gt;=H$3,学校マスタ!$U16&lt;H$3+7),"◎",IF(OR(AND(学校マスタ!$H16&lt;&gt;"",学校マスタ!$H16&gt;=H$3,学校マスタ!$H16&lt;H$3+7),AND(学校マスタ!$J16&lt;&gt;"",学校マスタ!$J16&gt;=H$3,学校マスタ!$J16&lt;H$3+7),AND(学校マスタ!$L16&lt;&gt;"",学校マスタ!$L16&gt;=H$3,学校マスタ!$L16&lt;H$3+7)),"◆",IF(AND(学校マスタ!$O16&lt;&gt;"",学校マスタ!$P16&lt;&gt;"",学校マスタ!$O16&lt;H$3+7,学校マスタ!$P16&gt;=H$3),"█",IF(AND(学校マスタ!$R16&lt;&gt;"",学校マスタ!$U16&lt;&gt;"",学校マスタ!$R16&lt;H$3+7,学校マスタ!$U16&gt;=H$3),"▒","")))))</f>
        <v/>
      </c>
      <c r="I18" s="26">
        <f>IF(学校マスタ!$A16="","",IF(AND(学校マスタ!$U16&lt;&gt;"",学校マスタ!$U16&gt;=I$3,学校マスタ!$U16&lt;I$3+7),"◎",IF(OR(AND(学校マスタ!$H16&lt;&gt;"",学校マスタ!$H16&gt;=I$3,学校マスタ!$H16&lt;I$3+7),AND(学校マスタ!$J16&lt;&gt;"",学校マスタ!$J16&gt;=I$3,学校マスタ!$J16&lt;I$3+7),AND(学校マスタ!$L16&lt;&gt;"",学校マスタ!$L16&gt;=I$3,学校マスタ!$L16&lt;I$3+7)),"◆",IF(AND(学校マスタ!$O16&lt;&gt;"",学校マスタ!$P16&lt;&gt;"",学校マスタ!$O16&lt;I$3+7,学校マスタ!$P16&gt;=I$3),"█",IF(AND(学校マスタ!$R16&lt;&gt;"",学校マスタ!$U16&lt;&gt;"",学校マスタ!$R16&lt;I$3+7,学校マスタ!$U16&gt;=I$3),"▒","")))))</f>
        <v/>
      </c>
      <c r="J18" s="26">
        <f>IF(学校マスタ!$A16="","",IF(AND(学校マスタ!$U16&lt;&gt;"",学校マスタ!$U16&gt;=J$3,学校マスタ!$U16&lt;J$3+7),"◎",IF(OR(AND(学校マスタ!$H16&lt;&gt;"",学校マスタ!$H16&gt;=J$3,学校マスタ!$H16&lt;J$3+7),AND(学校マスタ!$J16&lt;&gt;"",学校マスタ!$J16&gt;=J$3,学校マスタ!$J16&lt;J$3+7),AND(学校マスタ!$L16&lt;&gt;"",学校マスタ!$L16&gt;=J$3,学校マスタ!$L16&lt;J$3+7)),"◆",IF(AND(学校マスタ!$O16&lt;&gt;"",学校マスタ!$P16&lt;&gt;"",学校マスタ!$O16&lt;J$3+7,学校マスタ!$P16&gt;=J$3),"█",IF(AND(学校マスタ!$R16&lt;&gt;"",学校マスタ!$U16&lt;&gt;"",学校マスタ!$R16&lt;J$3+7,学校マスタ!$U16&gt;=J$3),"▒","")))))</f>
        <v/>
      </c>
      <c r="K18" s="26">
        <f>IF(学校マスタ!$A16="","",IF(AND(学校マスタ!$U16&lt;&gt;"",学校マスタ!$U16&gt;=K$3,学校マスタ!$U16&lt;K$3+7),"◎",IF(OR(AND(学校マスタ!$H16&lt;&gt;"",学校マスタ!$H16&gt;=K$3,学校マスタ!$H16&lt;K$3+7),AND(学校マスタ!$J16&lt;&gt;"",学校マスタ!$J16&gt;=K$3,学校マスタ!$J16&lt;K$3+7),AND(学校マスタ!$L16&lt;&gt;"",学校マスタ!$L16&gt;=K$3,学校マスタ!$L16&lt;K$3+7)),"◆",IF(AND(学校マスタ!$O16&lt;&gt;"",学校マスタ!$P16&lt;&gt;"",学校マスタ!$O16&lt;K$3+7,学校マスタ!$P16&gt;=K$3),"█",IF(AND(学校マスタ!$R16&lt;&gt;"",学校マスタ!$U16&lt;&gt;"",学校マスタ!$R16&lt;K$3+7,学校マスタ!$U16&gt;=K$3),"▒","")))))</f>
        <v/>
      </c>
      <c r="L18" s="26">
        <f>IF(学校マスタ!$A16="","",IF(AND(学校マスタ!$U16&lt;&gt;"",学校マスタ!$U16&gt;=L$3,学校マスタ!$U16&lt;L$3+7),"◎",IF(OR(AND(学校マスタ!$H16&lt;&gt;"",学校マスタ!$H16&gt;=L$3,学校マスタ!$H16&lt;L$3+7),AND(学校マスタ!$J16&lt;&gt;"",学校マスタ!$J16&gt;=L$3,学校マスタ!$J16&lt;L$3+7),AND(学校マスタ!$L16&lt;&gt;"",学校マスタ!$L16&gt;=L$3,学校マスタ!$L16&lt;L$3+7)),"◆",IF(AND(学校マスタ!$O16&lt;&gt;"",学校マスタ!$P16&lt;&gt;"",学校マスタ!$O16&lt;L$3+7,学校マスタ!$P16&gt;=L$3),"█",IF(AND(学校マスタ!$R16&lt;&gt;"",学校マスタ!$U16&lt;&gt;"",学校マスタ!$R16&lt;L$3+7,学校マスタ!$U16&gt;=L$3),"▒","")))))</f>
        <v/>
      </c>
      <c r="M18" s="26">
        <f>IF(学校マスタ!$A16="","",IF(AND(学校マスタ!$U16&lt;&gt;"",学校マスタ!$U16&gt;=M$3,学校マスタ!$U16&lt;M$3+7),"◎",IF(OR(AND(学校マスタ!$H16&lt;&gt;"",学校マスタ!$H16&gt;=M$3,学校マスタ!$H16&lt;M$3+7),AND(学校マスタ!$J16&lt;&gt;"",学校マスタ!$J16&gt;=M$3,学校マスタ!$J16&lt;M$3+7),AND(学校マスタ!$L16&lt;&gt;"",学校マスタ!$L16&gt;=M$3,学校マスタ!$L16&lt;M$3+7)),"◆",IF(AND(学校マスタ!$O16&lt;&gt;"",学校マスタ!$P16&lt;&gt;"",学校マスタ!$O16&lt;M$3+7,学校マスタ!$P16&gt;=M$3),"█",IF(AND(学校マスタ!$R16&lt;&gt;"",学校マスタ!$U16&lt;&gt;"",学校マスタ!$R16&lt;M$3+7,学校マスタ!$U16&gt;=M$3),"▒","")))))</f>
        <v/>
      </c>
      <c r="N18" s="26">
        <f>IF(学校マスタ!$A16="","",IF(AND(学校マスタ!$U16&lt;&gt;"",学校マスタ!$U16&gt;=N$3,学校マスタ!$U16&lt;N$3+7),"◎",IF(OR(AND(学校マスタ!$H16&lt;&gt;"",学校マスタ!$H16&gt;=N$3,学校マスタ!$H16&lt;N$3+7),AND(学校マスタ!$J16&lt;&gt;"",学校マスタ!$J16&gt;=N$3,学校マスタ!$J16&lt;N$3+7),AND(学校マスタ!$L16&lt;&gt;"",学校マスタ!$L16&gt;=N$3,学校マスタ!$L16&lt;N$3+7)),"◆",IF(AND(学校マスタ!$O16&lt;&gt;"",学校マスタ!$P16&lt;&gt;"",学校マスタ!$O16&lt;N$3+7,学校マスタ!$P16&gt;=N$3),"█",IF(AND(学校マスタ!$R16&lt;&gt;"",学校マスタ!$U16&lt;&gt;"",学校マスタ!$R16&lt;N$3+7,学校マスタ!$U16&gt;=N$3),"▒","")))))</f>
        <v/>
      </c>
      <c r="O18" s="26">
        <f>IF(学校マスタ!$A16="","",IF(AND(学校マスタ!$U16&lt;&gt;"",学校マスタ!$U16&gt;=O$3,学校マスタ!$U16&lt;O$3+7),"◎",IF(OR(AND(学校マスタ!$H16&lt;&gt;"",学校マスタ!$H16&gt;=O$3,学校マスタ!$H16&lt;O$3+7),AND(学校マスタ!$J16&lt;&gt;"",学校マスタ!$J16&gt;=O$3,学校マスタ!$J16&lt;O$3+7),AND(学校マスタ!$L16&lt;&gt;"",学校マスタ!$L16&gt;=O$3,学校マスタ!$L16&lt;O$3+7)),"◆",IF(AND(学校マスタ!$O16&lt;&gt;"",学校マスタ!$P16&lt;&gt;"",学校マスタ!$O16&lt;O$3+7,学校マスタ!$P16&gt;=O$3),"█",IF(AND(学校マスタ!$R16&lt;&gt;"",学校マスタ!$U16&lt;&gt;"",学校マスタ!$R16&lt;O$3+7,学校マスタ!$U16&gt;=O$3),"▒","")))))</f>
        <v/>
      </c>
      <c r="P18" s="26">
        <f>IF(学校マスタ!$A16="","",IF(AND(学校マスタ!$U16&lt;&gt;"",学校マスタ!$U16&gt;=P$3,学校マスタ!$U16&lt;P$3+7),"◎",IF(OR(AND(学校マスタ!$H16&lt;&gt;"",学校マスタ!$H16&gt;=P$3,学校マスタ!$H16&lt;P$3+7),AND(学校マスタ!$J16&lt;&gt;"",学校マスタ!$J16&gt;=P$3,学校マスタ!$J16&lt;P$3+7),AND(学校マスタ!$L16&lt;&gt;"",学校マスタ!$L16&gt;=P$3,学校マスタ!$L16&lt;P$3+7)),"◆",IF(AND(学校マスタ!$O16&lt;&gt;"",学校マスタ!$P16&lt;&gt;"",学校マスタ!$O16&lt;P$3+7,学校マスタ!$P16&gt;=P$3),"█",IF(AND(学校マスタ!$R16&lt;&gt;"",学校マスタ!$U16&lt;&gt;"",学校マスタ!$R16&lt;P$3+7,学校マスタ!$U16&gt;=P$3),"▒","")))))</f>
        <v/>
      </c>
      <c r="Q18" s="26">
        <f>IF(学校マスタ!$A16="","",IF(AND(学校マスタ!$U16&lt;&gt;"",学校マスタ!$U16&gt;=Q$3,学校マスタ!$U16&lt;Q$3+7),"◎",IF(OR(AND(学校マスタ!$H16&lt;&gt;"",学校マスタ!$H16&gt;=Q$3,学校マスタ!$H16&lt;Q$3+7),AND(学校マスタ!$J16&lt;&gt;"",学校マスタ!$J16&gt;=Q$3,学校マスタ!$J16&lt;Q$3+7),AND(学校マスタ!$L16&lt;&gt;"",学校マスタ!$L16&gt;=Q$3,学校マスタ!$L16&lt;Q$3+7)),"◆",IF(AND(学校マスタ!$O16&lt;&gt;"",学校マスタ!$P16&lt;&gt;"",学校マスタ!$O16&lt;Q$3+7,学校マスタ!$P16&gt;=Q$3),"█",IF(AND(学校マスタ!$R16&lt;&gt;"",学校マスタ!$U16&lt;&gt;"",学校マスタ!$R16&lt;Q$3+7,学校マスタ!$U16&gt;=Q$3),"▒","")))))</f>
        <v/>
      </c>
      <c r="R18" s="26">
        <f>IF(学校マスタ!$A16="","",IF(AND(学校マスタ!$U16&lt;&gt;"",学校マスタ!$U16&gt;=R$3,学校マスタ!$U16&lt;R$3+7),"◎",IF(OR(AND(学校マスタ!$H16&lt;&gt;"",学校マスタ!$H16&gt;=R$3,学校マスタ!$H16&lt;R$3+7),AND(学校マスタ!$J16&lt;&gt;"",学校マスタ!$J16&gt;=R$3,学校マスタ!$J16&lt;R$3+7),AND(学校マスタ!$L16&lt;&gt;"",学校マスタ!$L16&gt;=R$3,学校マスタ!$L16&lt;R$3+7)),"◆",IF(AND(学校マスタ!$O16&lt;&gt;"",学校マスタ!$P16&lt;&gt;"",学校マスタ!$O16&lt;R$3+7,学校マスタ!$P16&gt;=R$3),"█",IF(AND(学校マスタ!$R16&lt;&gt;"",学校マスタ!$U16&lt;&gt;"",学校マスタ!$R16&lt;R$3+7,学校マスタ!$U16&gt;=R$3),"▒","")))))</f>
        <v/>
      </c>
      <c r="S18" s="26">
        <f>IF(学校マスタ!$A16="","",IF(AND(学校マスタ!$U16&lt;&gt;"",学校マスタ!$U16&gt;=S$3,学校マスタ!$U16&lt;S$3+7),"◎",IF(OR(AND(学校マスタ!$H16&lt;&gt;"",学校マスタ!$H16&gt;=S$3,学校マスタ!$H16&lt;S$3+7),AND(学校マスタ!$J16&lt;&gt;"",学校マスタ!$J16&gt;=S$3,学校マスタ!$J16&lt;S$3+7),AND(学校マスタ!$L16&lt;&gt;"",学校マスタ!$L16&gt;=S$3,学校マスタ!$L16&lt;S$3+7)),"◆",IF(AND(学校マスタ!$O16&lt;&gt;"",学校マスタ!$P16&lt;&gt;"",学校マスタ!$O16&lt;S$3+7,学校マスタ!$P16&gt;=S$3),"█",IF(AND(学校マスタ!$R16&lt;&gt;"",学校マスタ!$U16&lt;&gt;"",学校マスタ!$R16&lt;S$3+7,学校マスタ!$U16&gt;=S$3),"▒","")))))</f>
        <v/>
      </c>
      <c r="T18" s="26">
        <f>IF(学校マスタ!$A16="","",IF(AND(学校マスタ!$U16&lt;&gt;"",学校マスタ!$U16&gt;=T$3,学校マスタ!$U16&lt;T$3+7),"◎",IF(OR(AND(学校マスタ!$H16&lt;&gt;"",学校マスタ!$H16&gt;=T$3,学校マスタ!$H16&lt;T$3+7),AND(学校マスタ!$J16&lt;&gt;"",学校マスタ!$J16&gt;=T$3,学校マスタ!$J16&lt;T$3+7),AND(学校マスタ!$L16&lt;&gt;"",学校マスタ!$L16&gt;=T$3,学校マスタ!$L16&lt;T$3+7)),"◆",IF(AND(学校マスタ!$O16&lt;&gt;"",学校マスタ!$P16&lt;&gt;"",学校マスタ!$O16&lt;T$3+7,学校マスタ!$P16&gt;=T$3),"█",IF(AND(学校マスタ!$R16&lt;&gt;"",学校マスタ!$U16&lt;&gt;"",学校マスタ!$R16&lt;T$3+7,学校マスタ!$U16&gt;=T$3),"▒","")))))</f>
        <v/>
      </c>
      <c r="U18" s="26">
        <f>IF(学校マスタ!$A16="","",IF(AND(学校マスタ!$U16&lt;&gt;"",学校マスタ!$U16&gt;=U$3,学校マスタ!$U16&lt;U$3+7),"◎",IF(OR(AND(学校マスタ!$H16&lt;&gt;"",学校マスタ!$H16&gt;=U$3,学校マスタ!$H16&lt;U$3+7),AND(学校マスタ!$J16&lt;&gt;"",学校マスタ!$J16&gt;=U$3,学校マスタ!$J16&lt;U$3+7),AND(学校マスタ!$L16&lt;&gt;"",学校マスタ!$L16&gt;=U$3,学校マスタ!$L16&lt;U$3+7)),"◆",IF(AND(学校マスタ!$O16&lt;&gt;"",学校マスタ!$P16&lt;&gt;"",学校マスタ!$O16&lt;U$3+7,学校マスタ!$P16&gt;=U$3),"█",IF(AND(学校マスタ!$R16&lt;&gt;"",学校マスタ!$U16&lt;&gt;"",学校マスタ!$R16&lt;U$3+7,学校マスタ!$U16&gt;=U$3),"▒","")))))</f>
        <v/>
      </c>
      <c r="V18" s="26">
        <f>IF(学校マスタ!$A16="","",IF(AND(学校マスタ!$U16&lt;&gt;"",学校マスタ!$U16&gt;=V$3,学校マスタ!$U16&lt;V$3+7),"◎",IF(OR(AND(学校マスタ!$H16&lt;&gt;"",学校マスタ!$H16&gt;=V$3,学校マスタ!$H16&lt;V$3+7),AND(学校マスタ!$J16&lt;&gt;"",学校マスタ!$J16&gt;=V$3,学校マスタ!$J16&lt;V$3+7),AND(学校マスタ!$L16&lt;&gt;"",学校マスタ!$L16&gt;=V$3,学校マスタ!$L16&lt;V$3+7)),"◆",IF(AND(学校マスタ!$O16&lt;&gt;"",学校マスタ!$P16&lt;&gt;"",学校マスタ!$O16&lt;V$3+7,学校マスタ!$P16&gt;=V$3),"█",IF(AND(学校マスタ!$R16&lt;&gt;"",学校マスタ!$U16&lt;&gt;"",学校マスタ!$R16&lt;V$3+7,学校マスタ!$U16&gt;=V$3),"▒","")))))</f>
        <v/>
      </c>
      <c r="W18" s="26">
        <f>IF(学校マスタ!$A16="","",IF(AND(学校マスタ!$U16&lt;&gt;"",学校マスタ!$U16&gt;=W$3,学校マスタ!$U16&lt;W$3+7),"◎",IF(OR(AND(学校マスタ!$H16&lt;&gt;"",学校マスタ!$H16&gt;=W$3,学校マスタ!$H16&lt;W$3+7),AND(学校マスタ!$J16&lt;&gt;"",学校マスタ!$J16&gt;=W$3,学校マスタ!$J16&lt;W$3+7),AND(学校マスタ!$L16&lt;&gt;"",学校マスタ!$L16&gt;=W$3,学校マスタ!$L16&lt;W$3+7)),"◆",IF(AND(学校マスタ!$O16&lt;&gt;"",学校マスタ!$P16&lt;&gt;"",学校マスタ!$O16&lt;W$3+7,学校マスタ!$P16&gt;=W$3),"█",IF(AND(学校マスタ!$R16&lt;&gt;"",学校マスタ!$U16&lt;&gt;"",学校マスタ!$R16&lt;W$3+7,学校マスタ!$U16&gt;=W$3),"▒","")))))</f>
        <v/>
      </c>
      <c r="X18" s="26">
        <f>IF(学校マスタ!$A16="","",IF(AND(学校マスタ!$U16&lt;&gt;"",学校マスタ!$U16&gt;=X$3,学校マスタ!$U16&lt;X$3+7),"◎",IF(OR(AND(学校マスタ!$H16&lt;&gt;"",学校マスタ!$H16&gt;=X$3,学校マスタ!$H16&lt;X$3+7),AND(学校マスタ!$J16&lt;&gt;"",学校マスタ!$J16&gt;=X$3,学校マスタ!$J16&lt;X$3+7),AND(学校マスタ!$L16&lt;&gt;"",学校マスタ!$L16&gt;=X$3,学校マスタ!$L16&lt;X$3+7)),"◆",IF(AND(学校マスタ!$O16&lt;&gt;"",学校マスタ!$P16&lt;&gt;"",学校マスタ!$O16&lt;X$3+7,学校マスタ!$P16&gt;=X$3),"█",IF(AND(学校マスタ!$R16&lt;&gt;"",学校マスタ!$U16&lt;&gt;"",学校マスタ!$R16&lt;X$3+7,学校マスタ!$U16&gt;=X$3),"▒","")))))</f>
        <v/>
      </c>
      <c r="Y18" s="26">
        <f>IF(学校マスタ!$A16="","",IF(AND(学校マスタ!$U16&lt;&gt;"",学校マスタ!$U16&gt;=Y$3,学校マスタ!$U16&lt;Y$3+7),"◎",IF(OR(AND(学校マスタ!$H16&lt;&gt;"",学校マスタ!$H16&gt;=Y$3,学校マスタ!$H16&lt;Y$3+7),AND(学校マスタ!$J16&lt;&gt;"",学校マスタ!$J16&gt;=Y$3,学校マスタ!$J16&lt;Y$3+7),AND(学校マスタ!$L16&lt;&gt;"",学校マスタ!$L16&gt;=Y$3,学校マスタ!$L16&lt;Y$3+7)),"◆",IF(AND(学校マスタ!$O16&lt;&gt;"",学校マスタ!$P16&lt;&gt;"",学校マスタ!$O16&lt;Y$3+7,学校マスタ!$P16&gt;=Y$3),"█",IF(AND(学校マスタ!$R16&lt;&gt;"",学校マスタ!$U16&lt;&gt;"",学校マスタ!$R16&lt;Y$3+7,学校マスタ!$U16&gt;=Y$3),"▒","")))))</f>
        <v/>
      </c>
      <c r="Z18" s="26">
        <f>IF(学校マスタ!$A16="","",IF(AND(学校マスタ!$U16&lt;&gt;"",学校マスタ!$U16&gt;=Z$3,学校マスタ!$U16&lt;Z$3+7),"◎",IF(OR(AND(学校マスタ!$H16&lt;&gt;"",学校マスタ!$H16&gt;=Z$3,学校マスタ!$H16&lt;Z$3+7),AND(学校マスタ!$J16&lt;&gt;"",学校マスタ!$J16&gt;=Z$3,学校マスタ!$J16&lt;Z$3+7),AND(学校マスタ!$L16&lt;&gt;"",学校マスタ!$L16&gt;=Z$3,学校マスタ!$L16&lt;Z$3+7)),"◆",IF(AND(学校マスタ!$O16&lt;&gt;"",学校マスタ!$P16&lt;&gt;"",学校マスタ!$O16&lt;Z$3+7,学校マスタ!$P16&gt;=Z$3),"█",IF(AND(学校マスタ!$R16&lt;&gt;"",学校マスタ!$U16&lt;&gt;"",学校マスタ!$R16&lt;Z$3+7,学校マスタ!$U16&gt;=Z$3),"▒","")))))</f>
        <v/>
      </c>
      <c r="AA18" s="26">
        <f>IF(学校マスタ!$A16="","",IF(AND(学校マスタ!$U16&lt;&gt;"",学校マスタ!$U16&gt;=AA$3,学校マスタ!$U16&lt;AA$3+7),"◎",IF(OR(AND(学校マスタ!$H16&lt;&gt;"",学校マスタ!$H16&gt;=AA$3,学校マスタ!$H16&lt;AA$3+7),AND(学校マスタ!$J16&lt;&gt;"",学校マスタ!$J16&gt;=AA$3,学校マスタ!$J16&lt;AA$3+7),AND(学校マスタ!$L16&lt;&gt;"",学校マスタ!$L16&gt;=AA$3,学校マスタ!$L16&lt;AA$3+7)),"◆",IF(AND(学校マスタ!$O16&lt;&gt;"",学校マスタ!$P16&lt;&gt;"",学校マスタ!$O16&lt;AA$3+7,学校マスタ!$P16&gt;=AA$3),"█",IF(AND(学校マスタ!$R16&lt;&gt;"",学校マスタ!$U16&lt;&gt;"",学校マスタ!$R16&lt;AA$3+7,学校マスタ!$U16&gt;=AA$3),"▒","")))))</f>
        <v/>
      </c>
      <c r="AB18" s="26">
        <f>IF(学校マスタ!$A16="","",IF(AND(学校マスタ!$U16&lt;&gt;"",学校マスタ!$U16&gt;=AB$3,学校マスタ!$U16&lt;AB$3+7),"◎",IF(OR(AND(学校マスタ!$H16&lt;&gt;"",学校マスタ!$H16&gt;=AB$3,学校マスタ!$H16&lt;AB$3+7),AND(学校マスタ!$J16&lt;&gt;"",学校マスタ!$J16&gt;=AB$3,学校マスタ!$J16&lt;AB$3+7),AND(学校マスタ!$L16&lt;&gt;"",学校マスタ!$L16&gt;=AB$3,学校マスタ!$L16&lt;AB$3+7)),"◆",IF(AND(学校マスタ!$O16&lt;&gt;"",学校マスタ!$P16&lt;&gt;"",学校マスタ!$O16&lt;AB$3+7,学校マスタ!$P16&gt;=AB$3),"█",IF(AND(学校マスタ!$R16&lt;&gt;"",学校マスタ!$U16&lt;&gt;"",学校マスタ!$R16&lt;AB$3+7,学校マスタ!$U16&gt;=AB$3),"▒","")))))</f>
        <v/>
      </c>
    </row>
    <row r="19">
      <c r="A19" s="19">
        <f>IF(学校マスタ!$A17="","",学校マスタ!$A17)</f>
        <v/>
      </c>
      <c r="B19" s="19">
        <f>IF(学校マスタ!$A17="","",学校マスタ!$C17)</f>
        <v/>
      </c>
      <c r="C19" s="19">
        <f>IF(学校マスタ!$A17="","",学校マスタ!$X17)</f>
        <v/>
      </c>
      <c r="D19" s="25">
        <f>IF(学校マスタ!$A17="","",学校マスタ!$R17)</f>
        <v/>
      </c>
      <c r="E19" s="26">
        <f>IF(学校マスタ!$A17="","",IF(AND(学校マスタ!$U17&lt;&gt;"",学校マスタ!$U17&gt;=E$3,学校マスタ!$U17&lt;E$3+7),"◎",IF(OR(AND(学校マスタ!$H17&lt;&gt;"",学校マスタ!$H17&gt;=E$3,学校マスタ!$H17&lt;E$3+7),AND(学校マスタ!$J17&lt;&gt;"",学校マスタ!$J17&gt;=E$3,学校マスタ!$J17&lt;E$3+7),AND(学校マスタ!$L17&lt;&gt;"",学校マスタ!$L17&gt;=E$3,学校マスタ!$L17&lt;E$3+7)),"◆",IF(AND(学校マスタ!$O17&lt;&gt;"",学校マスタ!$P17&lt;&gt;"",学校マスタ!$O17&lt;E$3+7,学校マスタ!$P17&gt;=E$3),"█",IF(AND(学校マスタ!$R17&lt;&gt;"",学校マスタ!$U17&lt;&gt;"",学校マスタ!$R17&lt;E$3+7,学校マスタ!$U17&gt;=E$3),"▒","")))))</f>
        <v/>
      </c>
      <c r="F19" s="26">
        <f>IF(学校マスタ!$A17="","",IF(AND(学校マスタ!$U17&lt;&gt;"",学校マスタ!$U17&gt;=F$3,学校マスタ!$U17&lt;F$3+7),"◎",IF(OR(AND(学校マスタ!$H17&lt;&gt;"",学校マスタ!$H17&gt;=F$3,学校マスタ!$H17&lt;F$3+7),AND(学校マスタ!$J17&lt;&gt;"",学校マスタ!$J17&gt;=F$3,学校マスタ!$J17&lt;F$3+7),AND(学校マスタ!$L17&lt;&gt;"",学校マスタ!$L17&gt;=F$3,学校マスタ!$L17&lt;F$3+7)),"◆",IF(AND(学校マスタ!$O17&lt;&gt;"",学校マスタ!$P17&lt;&gt;"",学校マスタ!$O17&lt;F$3+7,学校マスタ!$P17&gt;=F$3),"█",IF(AND(学校マスタ!$R17&lt;&gt;"",学校マスタ!$U17&lt;&gt;"",学校マスタ!$R17&lt;F$3+7,学校マスタ!$U17&gt;=F$3),"▒","")))))</f>
        <v/>
      </c>
      <c r="G19" s="26">
        <f>IF(学校マスタ!$A17="","",IF(AND(学校マスタ!$U17&lt;&gt;"",学校マスタ!$U17&gt;=G$3,学校マスタ!$U17&lt;G$3+7),"◎",IF(OR(AND(学校マスタ!$H17&lt;&gt;"",学校マスタ!$H17&gt;=G$3,学校マスタ!$H17&lt;G$3+7),AND(学校マスタ!$J17&lt;&gt;"",学校マスタ!$J17&gt;=G$3,学校マスタ!$J17&lt;G$3+7),AND(学校マスタ!$L17&lt;&gt;"",学校マスタ!$L17&gt;=G$3,学校マスタ!$L17&lt;G$3+7)),"◆",IF(AND(学校マスタ!$O17&lt;&gt;"",学校マスタ!$P17&lt;&gt;"",学校マスタ!$O17&lt;G$3+7,学校マスタ!$P17&gt;=G$3),"█",IF(AND(学校マスタ!$R17&lt;&gt;"",学校マスタ!$U17&lt;&gt;"",学校マスタ!$R17&lt;G$3+7,学校マスタ!$U17&gt;=G$3),"▒","")))))</f>
        <v/>
      </c>
      <c r="H19" s="26">
        <f>IF(学校マスタ!$A17="","",IF(AND(学校マスタ!$U17&lt;&gt;"",学校マスタ!$U17&gt;=H$3,学校マスタ!$U17&lt;H$3+7),"◎",IF(OR(AND(学校マスタ!$H17&lt;&gt;"",学校マスタ!$H17&gt;=H$3,学校マスタ!$H17&lt;H$3+7),AND(学校マスタ!$J17&lt;&gt;"",学校マスタ!$J17&gt;=H$3,学校マスタ!$J17&lt;H$3+7),AND(学校マスタ!$L17&lt;&gt;"",学校マスタ!$L17&gt;=H$3,学校マスタ!$L17&lt;H$3+7)),"◆",IF(AND(学校マスタ!$O17&lt;&gt;"",学校マスタ!$P17&lt;&gt;"",学校マスタ!$O17&lt;H$3+7,学校マスタ!$P17&gt;=H$3),"█",IF(AND(学校マスタ!$R17&lt;&gt;"",学校マスタ!$U17&lt;&gt;"",学校マスタ!$R17&lt;H$3+7,学校マスタ!$U17&gt;=H$3),"▒","")))))</f>
        <v/>
      </c>
      <c r="I19" s="26">
        <f>IF(学校マスタ!$A17="","",IF(AND(学校マスタ!$U17&lt;&gt;"",学校マスタ!$U17&gt;=I$3,学校マスタ!$U17&lt;I$3+7),"◎",IF(OR(AND(学校マスタ!$H17&lt;&gt;"",学校マスタ!$H17&gt;=I$3,学校マスタ!$H17&lt;I$3+7),AND(学校マスタ!$J17&lt;&gt;"",学校マスタ!$J17&gt;=I$3,学校マスタ!$J17&lt;I$3+7),AND(学校マスタ!$L17&lt;&gt;"",学校マスタ!$L17&gt;=I$3,学校マスタ!$L17&lt;I$3+7)),"◆",IF(AND(学校マスタ!$O17&lt;&gt;"",学校マスタ!$P17&lt;&gt;"",学校マスタ!$O17&lt;I$3+7,学校マスタ!$P17&gt;=I$3),"█",IF(AND(学校マスタ!$R17&lt;&gt;"",学校マスタ!$U17&lt;&gt;"",学校マスタ!$R17&lt;I$3+7,学校マスタ!$U17&gt;=I$3),"▒","")))))</f>
        <v/>
      </c>
      <c r="J19" s="26">
        <f>IF(学校マスタ!$A17="","",IF(AND(学校マスタ!$U17&lt;&gt;"",学校マスタ!$U17&gt;=J$3,学校マスタ!$U17&lt;J$3+7),"◎",IF(OR(AND(学校マスタ!$H17&lt;&gt;"",学校マスタ!$H17&gt;=J$3,学校マスタ!$H17&lt;J$3+7),AND(学校マスタ!$J17&lt;&gt;"",学校マスタ!$J17&gt;=J$3,学校マスタ!$J17&lt;J$3+7),AND(学校マスタ!$L17&lt;&gt;"",学校マスタ!$L17&gt;=J$3,学校マスタ!$L17&lt;J$3+7)),"◆",IF(AND(学校マスタ!$O17&lt;&gt;"",学校マスタ!$P17&lt;&gt;"",学校マスタ!$O17&lt;J$3+7,学校マスタ!$P17&gt;=J$3),"█",IF(AND(学校マスタ!$R17&lt;&gt;"",学校マスタ!$U17&lt;&gt;"",学校マスタ!$R17&lt;J$3+7,学校マスタ!$U17&gt;=J$3),"▒","")))))</f>
        <v/>
      </c>
      <c r="K19" s="26">
        <f>IF(学校マスタ!$A17="","",IF(AND(学校マスタ!$U17&lt;&gt;"",学校マスタ!$U17&gt;=K$3,学校マスタ!$U17&lt;K$3+7),"◎",IF(OR(AND(学校マスタ!$H17&lt;&gt;"",学校マスタ!$H17&gt;=K$3,学校マスタ!$H17&lt;K$3+7),AND(学校マスタ!$J17&lt;&gt;"",学校マスタ!$J17&gt;=K$3,学校マスタ!$J17&lt;K$3+7),AND(学校マスタ!$L17&lt;&gt;"",学校マスタ!$L17&gt;=K$3,学校マスタ!$L17&lt;K$3+7)),"◆",IF(AND(学校マスタ!$O17&lt;&gt;"",学校マスタ!$P17&lt;&gt;"",学校マスタ!$O17&lt;K$3+7,学校マスタ!$P17&gt;=K$3),"█",IF(AND(学校マスタ!$R17&lt;&gt;"",学校マスタ!$U17&lt;&gt;"",学校マスタ!$R17&lt;K$3+7,学校マスタ!$U17&gt;=K$3),"▒","")))))</f>
        <v/>
      </c>
      <c r="L19" s="26">
        <f>IF(学校マスタ!$A17="","",IF(AND(学校マスタ!$U17&lt;&gt;"",学校マスタ!$U17&gt;=L$3,学校マスタ!$U17&lt;L$3+7),"◎",IF(OR(AND(学校マスタ!$H17&lt;&gt;"",学校マスタ!$H17&gt;=L$3,学校マスタ!$H17&lt;L$3+7),AND(学校マスタ!$J17&lt;&gt;"",学校マスタ!$J17&gt;=L$3,学校マスタ!$J17&lt;L$3+7),AND(学校マスタ!$L17&lt;&gt;"",学校マスタ!$L17&gt;=L$3,学校マスタ!$L17&lt;L$3+7)),"◆",IF(AND(学校マスタ!$O17&lt;&gt;"",学校マスタ!$P17&lt;&gt;"",学校マスタ!$O17&lt;L$3+7,学校マスタ!$P17&gt;=L$3),"█",IF(AND(学校マスタ!$R17&lt;&gt;"",学校マスタ!$U17&lt;&gt;"",学校マスタ!$R17&lt;L$3+7,学校マスタ!$U17&gt;=L$3),"▒","")))))</f>
        <v/>
      </c>
      <c r="M19" s="26">
        <f>IF(学校マスタ!$A17="","",IF(AND(学校マスタ!$U17&lt;&gt;"",学校マスタ!$U17&gt;=M$3,学校マスタ!$U17&lt;M$3+7),"◎",IF(OR(AND(学校マスタ!$H17&lt;&gt;"",学校マスタ!$H17&gt;=M$3,学校マスタ!$H17&lt;M$3+7),AND(学校マスタ!$J17&lt;&gt;"",学校マスタ!$J17&gt;=M$3,学校マスタ!$J17&lt;M$3+7),AND(学校マスタ!$L17&lt;&gt;"",学校マスタ!$L17&gt;=M$3,学校マスタ!$L17&lt;M$3+7)),"◆",IF(AND(学校マスタ!$O17&lt;&gt;"",学校マスタ!$P17&lt;&gt;"",学校マスタ!$O17&lt;M$3+7,学校マスタ!$P17&gt;=M$3),"█",IF(AND(学校マスタ!$R17&lt;&gt;"",学校マスタ!$U17&lt;&gt;"",学校マスタ!$R17&lt;M$3+7,学校マスタ!$U17&gt;=M$3),"▒","")))))</f>
        <v/>
      </c>
      <c r="N19" s="26">
        <f>IF(学校マスタ!$A17="","",IF(AND(学校マスタ!$U17&lt;&gt;"",学校マスタ!$U17&gt;=N$3,学校マスタ!$U17&lt;N$3+7),"◎",IF(OR(AND(学校マスタ!$H17&lt;&gt;"",学校マスタ!$H17&gt;=N$3,学校マスタ!$H17&lt;N$3+7),AND(学校マスタ!$J17&lt;&gt;"",学校マスタ!$J17&gt;=N$3,学校マスタ!$J17&lt;N$3+7),AND(学校マスタ!$L17&lt;&gt;"",学校マスタ!$L17&gt;=N$3,学校マスタ!$L17&lt;N$3+7)),"◆",IF(AND(学校マスタ!$O17&lt;&gt;"",学校マスタ!$P17&lt;&gt;"",学校マスタ!$O17&lt;N$3+7,学校マスタ!$P17&gt;=N$3),"█",IF(AND(学校マスタ!$R17&lt;&gt;"",学校マスタ!$U17&lt;&gt;"",学校マスタ!$R17&lt;N$3+7,学校マスタ!$U17&gt;=N$3),"▒","")))))</f>
        <v/>
      </c>
      <c r="O19" s="26">
        <f>IF(学校マスタ!$A17="","",IF(AND(学校マスタ!$U17&lt;&gt;"",学校マスタ!$U17&gt;=O$3,学校マスタ!$U17&lt;O$3+7),"◎",IF(OR(AND(学校マスタ!$H17&lt;&gt;"",学校マスタ!$H17&gt;=O$3,学校マスタ!$H17&lt;O$3+7),AND(学校マスタ!$J17&lt;&gt;"",学校マスタ!$J17&gt;=O$3,学校マスタ!$J17&lt;O$3+7),AND(学校マスタ!$L17&lt;&gt;"",学校マスタ!$L17&gt;=O$3,学校マスタ!$L17&lt;O$3+7)),"◆",IF(AND(学校マスタ!$O17&lt;&gt;"",学校マスタ!$P17&lt;&gt;"",学校マスタ!$O17&lt;O$3+7,学校マスタ!$P17&gt;=O$3),"█",IF(AND(学校マスタ!$R17&lt;&gt;"",学校マスタ!$U17&lt;&gt;"",学校マスタ!$R17&lt;O$3+7,学校マスタ!$U17&gt;=O$3),"▒","")))))</f>
        <v/>
      </c>
      <c r="P19" s="26">
        <f>IF(学校マスタ!$A17="","",IF(AND(学校マスタ!$U17&lt;&gt;"",学校マスタ!$U17&gt;=P$3,学校マスタ!$U17&lt;P$3+7),"◎",IF(OR(AND(学校マスタ!$H17&lt;&gt;"",学校マスタ!$H17&gt;=P$3,学校マスタ!$H17&lt;P$3+7),AND(学校マスタ!$J17&lt;&gt;"",学校マスタ!$J17&gt;=P$3,学校マスタ!$J17&lt;P$3+7),AND(学校マスタ!$L17&lt;&gt;"",学校マスタ!$L17&gt;=P$3,学校マスタ!$L17&lt;P$3+7)),"◆",IF(AND(学校マスタ!$O17&lt;&gt;"",学校マスタ!$P17&lt;&gt;"",学校マスタ!$O17&lt;P$3+7,学校マスタ!$P17&gt;=P$3),"█",IF(AND(学校マスタ!$R17&lt;&gt;"",学校マスタ!$U17&lt;&gt;"",学校マスタ!$R17&lt;P$3+7,学校マスタ!$U17&gt;=P$3),"▒","")))))</f>
        <v/>
      </c>
      <c r="Q19" s="26">
        <f>IF(学校マスタ!$A17="","",IF(AND(学校マスタ!$U17&lt;&gt;"",学校マスタ!$U17&gt;=Q$3,学校マスタ!$U17&lt;Q$3+7),"◎",IF(OR(AND(学校マスタ!$H17&lt;&gt;"",学校マスタ!$H17&gt;=Q$3,学校マスタ!$H17&lt;Q$3+7),AND(学校マスタ!$J17&lt;&gt;"",学校マスタ!$J17&gt;=Q$3,学校マスタ!$J17&lt;Q$3+7),AND(学校マスタ!$L17&lt;&gt;"",学校マスタ!$L17&gt;=Q$3,学校マスタ!$L17&lt;Q$3+7)),"◆",IF(AND(学校マスタ!$O17&lt;&gt;"",学校マスタ!$P17&lt;&gt;"",学校マスタ!$O17&lt;Q$3+7,学校マスタ!$P17&gt;=Q$3),"█",IF(AND(学校マスタ!$R17&lt;&gt;"",学校マスタ!$U17&lt;&gt;"",学校マスタ!$R17&lt;Q$3+7,学校マスタ!$U17&gt;=Q$3),"▒","")))))</f>
        <v/>
      </c>
      <c r="R19" s="26">
        <f>IF(学校マスタ!$A17="","",IF(AND(学校マスタ!$U17&lt;&gt;"",学校マスタ!$U17&gt;=R$3,学校マスタ!$U17&lt;R$3+7),"◎",IF(OR(AND(学校マスタ!$H17&lt;&gt;"",学校マスタ!$H17&gt;=R$3,学校マスタ!$H17&lt;R$3+7),AND(学校マスタ!$J17&lt;&gt;"",学校マスタ!$J17&gt;=R$3,学校マスタ!$J17&lt;R$3+7),AND(学校マスタ!$L17&lt;&gt;"",学校マスタ!$L17&gt;=R$3,学校マスタ!$L17&lt;R$3+7)),"◆",IF(AND(学校マスタ!$O17&lt;&gt;"",学校マスタ!$P17&lt;&gt;"",学校マスタ!$O17&lt;R$3+7,学校マスタ!$P17&gt;=R$3),"█",IF(AND(学校マスタ!$R17&lt;&gt;"",学校マスタ!$U17&lt;&gt;"",学校マスタ!$R17&lt;R$3+7,学校マスタ!$U17&gt;=R$3),"▒","")))))</f>
        <v/>
      </c>
      <c r="S19" s="26">
        <f>IF(学校マスタ!$A17="","",IF(AND(学校マスタ!$U17&lt;&gt;"",学校マスタ!$U17&gt;=S$3,学校マスタ!$U17&lt;S$3+7),"◎",IF(OR(AND(学校マスタ!$H17&lt;&gt;"",学校マスタ!$H17&gt;=S$3,学校マスタ!$H17&lt;S$3+7),AND(学校マスタ!$J17&lt;&gt;"",学校マスタ!$J17&gt;=S$3,学校マスタ!$J17&lt;S$3+7),AND(学校マスタ!$L17&lt;&gt;"",学校マスタ!$L17&gt;=S$3,学校マスタ!$L17&lt;S$3+7)),"◆",IF(AND(学校マスタ!$O17&lt;&gt;"",学校マスタ!$P17&lt;&gt;"",学校マスタ!$O17&lt;S$3+7,学校マスタ!$P17&gt;=S$3),"█",IF(AND(学校マスタ!$R17&lt;&gt;"",学校マスタ!$U17&lt;&gt;"",学校マスタ!$R17&lt;S$3+7,学校マスタ!$U17&gt;=S$3),"▒","")))))</f>
        <v/>
      </c>
      <c r="T19" s="26">
        <f>IF(学校マスタ!$A17="","",IF(AND(学校マスタ!$U17&lt;&gt;"",学校マスタ!$U17&gt;=T$3,学校マスタ!$U17&lt;T$3+7),"◎",IF(OR(AND(学校マスタ!$H17&lt;&gt;"",学校マスタ!$H17&gt;=T$3,学校マスタ!$H17&lt;T$3+7),AND(学校マスタ!$J17&lt;&gt;"",学校マスタ!$J17&gt;=T$3,学校マスタ!$J17&lt;T$3+7),AND(学校マスタ!$L17&lt;&gt;"",学校マスタ!$L17&gt;=T$3,学校マスタ!$L17&lt;T$3+7)),"◆",IF(AND(学校マスタ!$O17&lt;&gt;"",学校マスタ!$P17&lt;&gt;"",学校マスタ!$O17&lt;T$3+7,学校マスタ!$P17&gt;=T$3),"█",IF(AND(学校マスタ!$R17&lt;&gt;"",学校マスタ!$U17&lt;&gt;"",学校マスタ!$R17&lt;T$3+7,学校マスタ!$U17&gt;=T$3),"▒","")))))</f>
        <v/>
      </c>
      <c r="U19" s="26">
        <f>IF(学校マスタ!$A17="","",IF(AND(学校マスタ!$U17&lt;&gt;"",学校マスタ!$U17&gt;=U$3,学校マスタ!$U17&lt;U$3+7),"◎",IF(OR(AND(学校マスタ!$H17&lt;&gt;"",学校マスタ!$H17&gt;=U$3,学校マスタ!$H17&lt;U$3+7),AND(学校マスタ!$J17&lt;&gt;"",学校マスタ!$J17&gt;=U$3,学校マスタ!$J17&lt;U$3+7),AND(学校マスタ!$L17&lt;&gt;"",学校マスタ!$L17&gt;=U$3,学校マスタ!$L17&lt;U$3+7)),"◆",IF(AND(学校マスタ!$O17&lt;&gt;"",学校マスタ!$P17&lt;&gt;"",学校マスタ!$O17&lt;U$3+7,学校マスタ!$P17&gt;=U$3),"█",IF(AND(学校マスタ!$R17&lt;&gt;"",学校マスタ!$U17&lt;&gt;"",学校マスタ!$R17&lt;U$3+7,学校マスタ!$U17&gt;=U$3),"▒","")))))</f>
        <v/>
      </c>
      <c r="V19" s="26">
        <f>IF(学校マスタ!$A17="","",IF(AND(学校マスタ!$U17&lt;&gt;"",学校マスタ!$U17&gt;=V$3,学校マスタ!$U17&lt;V$3+7),"◎",IF(OR(AND(学校マスタ!$H17&lt;&gt;"",学校マスタ!$H17&gt;=V$3,学校マスタ!$H17&lt;V$3+7),AND(学校マスタ!$J17&lt;&gt;"",学校マスタ!$J17&gt;=V$3,学校マスタ!$J17&lt;V$3+7),AND(学校マスタ!$L17&lt;&gt;"",学校マスタ!$L17&gt;=V$3,学校マスタ!$L17&lt;V$3+7)),"◆",IF(AND(学校マスタ!$O17&lt;&gt;"",学校マスタ!$P17&lt;&gt;"",学校マスタ!$O17&lt;V$3+7,学校マスタ!$P17&gt;=V$3),"█",IF(AND(学校マスタ!$R17&lt;&gt;"",学校マスタ!$U17&lt;&gt;"",学校マスタ!$R17&lt;V$3+7,学校マスタ!$U17&gt;=V$3),"▒","")))))</f>
        <v/>
      </c>
      <c r="W19" s="26">
        <f>IF(学校マスタ!$A17="","",IF(AND(学校マスタ!$U17&lt;&gt;"",学校マスタ!$U17&gt;=W$3,学校マスタ!$U17&lt;W$3+7),"◎",IF(OR(AND(学校マスタ!$H17&lt;&gt;"",学校マスタ!$H17&gt;=W$3,学校マスタ!$H17&lt;W$3+7),AND(学校マスタ!$J17&lt;&gt;"",学校マスタ!$J17&gt;=W$3,学校マスタ!$J17&lt;W$3+7),AND(学校マスタ!$L17&lt;&gt;"",学校マスタ!$L17&gt;=W$3,学校マスタ!$L17&lt;W$3+7)),"◆",IF(AND(学校マスタ!$O17&lt;&gt;"",学校マスタ!$P17&lt;&gt;"",学校マスタ!$O17&lt;W$3+7,学校マスタ!$P17&gt;=W$3),"█",IF(AND(学校マスタ!$R17&lt;&gt;"",学校マスタ!$U17&lt;&gt;"",学校マスタ!$R17&lt;W$3+7,学校マスタ!$U17&gt;=W$3),"▒","")))))</f>
        <v/>
      </c>
      <c r="X19" s="26">
        <f>IF(学校マスタ!$A17="","",IF(AND(学校マスタ!$U17&lt;&gt;"",学校マスタ!$U17&gt;=X$3,学校マスタ!$U17&lt;X$3+7),"◎",IF(OR(AND(学校マスタ!$H17&lt;&gt;"",学校マスタ!$H17&gt;=X$3,学校マスタ!$H17&lt;X$3+7),AND(学校マスタ!$J17&lt;&gt;"",学校マスタ!$J17&gt;=X$3,学校マスタ!$J17&lt;X$3+7),AND(学校マスタ!$L17&lt;&gt;"",学校マスタ!$L17&gt;=X$3,学校マスタ!$L17&lt;X$3+7)),"◆",IF(AND(学校マスタ!$O17&lt;&gt;"",学校マスタ!$P17&lt;&gt;"",学校マスタ!$O17&lt;X$3+7,学校マスタ!$P17&gt;=X$3),"█",IF(AND(学校マスタ!$R17&lt;&gt;"",学校マスタ!$U17&lt;&gt;"",学校マスタ!$R17&lt;X$3+7,学校マスタ!$U17&gt;=X$3),"▒","")))))</f>
        <v/>
      </c>
      <c r="Y19" s="26">
        <f>IF(学校マスタ!$A17="","",IF(AND(学校マスタ!$U17&lt;&gt;"",学校マスタ!$U17&gt;=Y$3,学校マスタ!$U17&lt;Y$3+7),"◎",IF(OR(AND(学校マスタ!$H17&lt;&gt;"",学校マスタ!$H17&gt;=Y$3,学校マスタ!$H17&lt;Y$3+7),AND(学校マスタ!$J17&lt;&gt;"",学校マスタ!$J17&gt;=Y$3,学校マスタ!$J17&lt;Y$3+7),AND(学校マスタ!$L17&lt;&gt;"",学校マスタ!$L17&gt;=Y$3,学校マスタ!$L17&lt;Y$3+7)),"◆",IF(AND(学校マスタ!$O17&lt;&gt;"",学校マスタ!$P17&lt;&gt;"",学校マスタ!$O17&lt;Y$3+7,学校マスタ!$P17&gt;=Y$3),"█",IF(AND(学校マスタ!$R17&lt;&gt;"",学校マスタ!$U17&lt;&gt;"",学校マスタ!$R17&lt;Y$3+7,学校マスタ!$U17&gt;=Y$3),"▒","")))))</f>
        <v/>
      </c>
      <c r="Z19" s="26">
        <f>IF(学校マスタ!$A17="","",IF(AND(学校マスタ!$U17&lt;&gt;"",学校マスタ!$U17&gt;=Z$3,学校マスタ!$U17&lt;Z$3+7),"◎",IF(OR(AND(学校マスタ!$H17&lt;&gt;"",学校マスタ!$H17&gt;=Z$3,学校マスタ!$H17&lt;Z$3+7),AND(学校マスタ!$J17&lt;&gt;"",学校マスタ!$J17&gt;=Z$3,学校マスタ!$J17&lt;Z$3+7),AND(学校マスタ!$L17&lt;&gt;"",学校マスタ!$L17&gt;=Z$3,学校マスタ!$L17&lt;Z$3+7)),"◆",IF(AND(学校マスタ!$O17&lt;&gt;"",学校マスタ!$P17&lt;&gt;"",学校マスタ!$O17&lt;Z$3+7,学校マスタ!$P17&gt;=Z$3),"█",IF(AND(学校マスタ!$R17&lt;&gt;"",学校マスタ!$U17&lt;&gt;"",学校マスタ!$R17&lt;Z$3+7,学校マスタ!$U17&gt;=Z$3),"▒","")))))</f>
        <v/>
      </c>
      <c r="AA19" s="26">
        <f>IF(学校マスタ!$A17="","",IF(AND(学校マスタ!$U17&lt;&gt;"",学校マスタ!$U17&gt;=AA$3,学校マスタ!$U17&lt;AA$3+7),"◎",IF(OR(AND(学校マスタ!$H17&lt;&gt;"",学校マスタ!$H17&gt;=AA$3,学校マスタ!$H17&lt;AA$3+7),AND(学校マスタ!$J17&lt;&gt;"",学校マスタ!$J17&gt;=AA$3,学校マスタ!$J17&lt;AA$3+7),AND(学校マスタ!$L17&lt;&gt;"",学校マスタ!$L17&gt;=AA$3,学校マスタ!$L17&lt;AA$3+7)),"◆",IF(AND(学校マスタ!$O17&lt;&gt;"",学校マスタ!$P17&lt;&gt;"",学校マスタ!$O17&lt;AA$3+7,学校マスタ!$P17&gt;=AA$3),"█",IF(AND(学校マスタ!$R17&lt;&gt;"",学校マスタ!$U17&lt;&gt;"",学校マスタ!$R17&lt;AA$3+7,学校マスタ!$U17&gt;=AA$3),"▒","")))))</f>
        <v/>
      </c>
      <c r="AB19" s="26">
        <f>IF(学校マスタ!$A17="","",IF(AND(学校マスタ!$U17&lt;&gt;"",学校マスタ!$U17&gt;=AB$3,学校マスタ!$U17&lt;AB$3+7),"◎",IF(OR(AND(学校マスタ!$H17&lt;&gt;"",学校マスタ!$H17&gt;=AB$3,学校マスタ!$H17&lt;AB$3+7),AND(学校マスタ!$J17&lt;&gt;"",学校マスタ!$J17&gt;=AB$3,学校マスタ!$J17&lt;AB$3+7),AND(学校マスタ!$L17&lt;&gt;"",学校マスタ!$L17&gt;=AB$3,学校マスタ!$L17&lt;AB$3+7)),"◆",IF(AND(学校マスタ!$O17&lt;&gt;"",学校マスタ!$P17&lt;&gt;"",学校マスタ!$O17&lt;AB$3+7,学校マスタ!$P17&gt;=AB$3),"█",IF(AND(学校マスタ!$R17&lt;&gt;"",学校マスタ!$U17&lt;&gt;"",学校マスタ!$R17&lt;AB$3+7,学校マスタ!$U17&gt;=AB$3),"▒","")))))</f>
        <v/>
      </c>
    </row>
    <row r="20">
      <c r="A20" s="19">
        <f>IF(学校マスタ!$A18="","",学校マスタ!$A18)</f>
        <v/>
      </c>
      <c r="B20" s="19">
        <f>IF(学校マスタ!$A18="","",学校マスタ!$C18)</f>
        <v/>
      </c>
      <c r="C20" s="19">
        <f>IF(学校マスタ!$A18="","",学校マスタ!$X18)</f>
        <v/>
      </c>
      <c r="D20" s="25">
        <f>IF(学校マスタ!$A18="","",学校マスタ!$R18)</f>
        <v/>
      </c>
      <c r="E20" s="26">
        <f>IF(学校マスタ!$A18="","",IF(AND(学校マスタ!$U18&lt;&gt;"",学校マスタ!$U18&gt;=E$3,学校マスタ!$U18&lt;E$3+7),"◎",IF(OR(AND(学校マスタ!$H18&lt;&gt;"",学校マスタ!$H18&gt;=E$3,学校マスタ!$H18&lt;E$3+7),AND(学校マスタ!$J18&lt;&gt;"",学校マスタ!$J18&gt;=E$3,学校マスタ!$J18&lt;E$3+7),AND(学校マスタ!$L18&lt;&gt;"",学校マスタ!$L18&gt;=E$3,学校マスタ!$L18&lt;E$3+7)),"◆",IF(AND(学校マスタ!$O18&lt;&gt;"",学校マスタ!$P18&lt;&gt;"",学校マスタ!$O18&lt;E$3+7,学校マスタ!$P18&gt;=E$3),"█",IF(AND(学校マスタ!$R18&lt;&gt;"",学校マスタ!$U18&lt;&gt;"",学校マスタ!$R18&lt;E$3+7,学校マスタ!$U18&gt;=E$3),"▒","")))))</f>
        <v/>
      </c>
      <c r="F20" s="26">
        <f>IF(学校マスタ!$A18="","",IF(AND(学校マスタ!$U18&lt;&gt;"",学校マスタ!$U18&gt;=F$3,学校マスタ!$U18&lt;F$3+7),"◎",IF(OR(AND(学校マスタ!$H18&lt;&gt;"",学校マスタ!$H18&gt;=F$3,学校マスタ!$H18&lt;F$3+7),AND(学校マスタ!$J18&lt;&gt;"",学校マスタ!$J18&gt;=F$3,学校マスタ!$J18&lt;F$3+7),AND(学校マスタ!$L18&lt;&gt;"",学校マスタ!$L18&gt;=F$3,学校マスタ!$L18&lt;F$3+7)),"◆",IF(AND(学校マスタ!$O18&lt;&gt;"",学校マスタ!$P18&lt;&gt;"",学校マスタ!$O18&lt;F$3+7,学校マスタ!$P18&gt;=F$3),"█",IF(AND(学校マスタ!$R18&lt;&gt;"",学校マスタ!$U18&lt;&gt;"",学校マスタ!$R18&lt;F$3+7,学校マスタ!$U18&gt;=F$3),"▒","")))))</f>
        <v/>
      </c>
      <c r="G20" s="26">
        <f>IF(学校マスタ!$A18="","",IF(AND(学校マスタ!$U18&lt;&gt;"",学校マスタ!$U18&gt;=G$3,学校マスタ!$U18&lt;G$3+7),"◎",IF(OR(AND(学校マスタ!$H18&lt;&gt;"",学校マスタ!$H18&gt;=G$3,学校マスタ!$H18&lt;G$3+7),AND(学校マスタ!$J18&lt;&gt;"",学校マスタ!$J18&gt;=G$3,学校マスタ!$J18&lt;G$3+7),AND(学校マスタ!$L18&lt;&gt;"",学校マスタ!$L18&gt;=G$3,学校マスタ!$L18&lt;G$3+7)),"◆",IF(AND(学校マスタ!$O18&lt;&gt;"",学校マスタ!$P18&lt;&gt;"",学校マスタ!$O18&lt;G$3+7,学校マスタ!$P18&gt;=G$3),"█",IF(AND(学校マスタ!$R18&lt;&gt;"",学校マスタ!$U18&lt;&gt;"",学校マスタ!$R18&lt;G$3+7,学校マスタ!$U18&gt;=G$3),"▒","")))))</f>
        <v/>
      </c>
      <c r="H20" s="26">
        <f>IF(学校マスタ!$A18="","",IF(AND(学校マスタ!$U18&lt;&gt;"",学校マスタ!$U18&gt;=H$3,学校マスタ!$U18&lt;H$3+7),"◎",IF(OR(AND(学校マスタ!$H18&lt;&gt;"",学校マスタ!$H18&gt;=H$3,学校マスタ!$H18&lt;H$3+7),AND(学校マスタ!$J18&lt;&gt;"",学校マスタ!$J18&gt;=H$3,学校マスタ!$J18&lt;H$3+7),AND(学校マスタ!$L18&lt;&gt;"",学校マスタ!$L18&gt;=H$3,学校マスタ!$L18&lt;H$3+7)),"◆",IF(AND(学校マスタ!$O18&lt;&gt;"",学校マスタ!$P18&lt;&gt;"",学校マスタ!$O18&lt;H$3+7,学校マスタ!$P18&gt;=H$3),"█",IF(AND(学校マスタ!$R18&lt;&gt;"",学校マスタ!$U18&lt;&gt;"",学校マスタ!$R18&lt;H$3+7,学校マスタ!$U18&gt;=H$3),"▒","")))))</f>
        <v/>
      </c>
      <c r="I20" s="26">
        <f>IF(学校マスタ!$A18="","",IF(AND(学校マスタ!$U18&lt;&gt;"",学校マスタ!$U18&gt;=I$3,学校マスタ!$U18&lt;I$3+7),"◎",IF(OR(AND(学校マスタ!$H18&lt;&gt;"",学校マスタ!$H18&gt;=I$3,学校マスタ!$H18&lt;I$3+7),AND(学校マスタ!$J18&lt;&gt;"",学校マスタ!$J18&gt;=I$3,学校マスタ!$J18&lt;I$3+7),AND(学校マスタ!$L18&lt;&gt;"",学校マスタ!$L18&gt;=I$3,学校マスタ!$L18&lt;I$3+7)),"◆",IF(AND(学校マスタ!$O18&lt;&gt;"",学校マスタ!$P18&lt;&gt;"",学校マスタ!$O18&lt;I$3+7,学校マスタ!$P18&gt;=I$3),"█",IF(AND(学校マスタ!$R18&lt;&gt;"",学校マスタ!$U18&lt;&gt;"",学校マスタ!$R18&lt;I$3+7,学校マスタ!$U18&gt;=I$3),"▒","")))))</f>
        <v/>
      </c>
      <c r="J20" s="26">
        <f>IF(学校マスタ!$A18="","",IF(AND(学校マスタ!$U18&lt;&gt;"",学校マスタ!$U18&gt;=J$3,学校マスタ!$U18&lt;J$3+7),"◎",IF(OR(AND(学校マスタ!$H18&lt;&gt;"",学校マスタ!$H18&gt;=J$3,学校マスタ!$H18&lt;J$3+7),AND(学校マスタ!$J18&lt;&gt;"",学校マスタ!$J18&gt;=J$3,学校マスタ!$J18&lt;J$3+7),AND(学校マスタ!$L18&lt;&gt;"",学校マスタ!$L18&gt;=J$3,学校マスタ!$L18&lt;J$3+7)),"◆",IF(AND(学校マスタ!$O18&lt;&gt;"",学校マスタ!$P18&lt;&gt;"",学校マスタ!$O18&lt;J$3+7,学校マスタ!$P18&gt;=J$3),"█",IF(AND(学校マスタ!$R18&lt;&gt;"",学校マスタ!$U18&lt;&gt;"",学校マスタ!$R18&lt;J$3+7,学校マスタ!$U18&gt;=J$3),"▒","")))))</f>
        <v/>
      </c>
      <c r="K20" s="26">
        <f>IF(学校マスタ!$A18="","",IF(AND(学校マスタ!$U18&lt;&gt;"",学校マスタ!$U18&gt;=K$3,学校マスタ!$U18&lt;K$3+7),"◎",IF(OR(AND(学校マスタ!$H18&lt;&gt;"",学校マスタ!$H18&gt;=K$3,学校マスタ!$H18&lt;K$3+7),AND(学校マスタ!$J18&lt;&gt;"",学校マスタ!$J18&gt;=K$3,学校マスタ!$J18&lt;K$3+7),AND(学校マスタ!$L18&lt;&gt;"",学校マスタ!$L18&gt;=K$3,学校マスタ!$L18&lt;K$3+7)),"◆",IF(AND(学校マスタ!$O18&lt;&gt;"",学校マスタ!$P18&lt;&gt;"",学校マスタ!$O18&lt;K$3+7,学校マスタ!$P18&gt;=K$3),"█",IF(AND(学校マスタ!$R18&lt;&gt;"",学校マスタ!$U18&lt;&gt;"",学校マスタ!$R18&lt;K$3+7,学校マスタ!$U18&gt;=K$3),"▒","")))))</f>
        <v/>
      </c>
      <c r="L20" s="26">
        <f>IF(学校マスタ!$A18="","",IF(AND(学校マスタ!$U18&lt;&gt;"",学校マスタ!$U18&gt;=L$3,学校マスタ!$U18&lt;L$3+7),"◎",IF(OR(AND(学校マスタ!$H18&lt;&gt;"",学校マスタ!$H18&gt;=L$3,学校マスタ!$H18&lt;L$3+7),AND(学校マスタ!$J18&lt;&gt;"",学校マスタ!$J18&gt;=L$3,学校マスタ!$J18&lt;L$3+7),AND(学校マスタ!$L18&lt;&gt;"",学校マスタ!$L18&gt;=L$3,学校マスタ!$L18&lt;L$3+7)),"◆",IF(AND(学校マスタ!$O18&lt;&gt;"",学校マスタ!$P18&lt;&gt;"",学校マスタ!$O18&lt;L$3+7,学校マスタ!$P18&gt;=L$3),"█",IF(AND(学校マスタ!$R18&lt;&gt;"",学校マスタ!$U18&lt;&gt;"",学校マスタ!$R18&lt;L$3+7,学校マスタ!$U18&gt;=L$3),"▒","")))))</f>
        <v/>
      </c>
      <c r="M20" s="26">
        <f>IF(学校マスタ!$A18="","",IF(AND(学校マスタ!$U18&lt;&gt;"",学校マスタ!$U18&gt;=M$3,学校マスタ!$U18&lt;M$3+7),"◎",IF(OR(AND(学校マスタ!$H18&lt;&gt;"",学校マスタ!$H18&gt;=M$3,学校マスタ!$H18&lt;M$3+7),AND(学校マスタ!$J18&lt;&gt;"",学校マスタ!$J18&gt;=M$3,学校マスタ!$J18&lt;M$3+7),AND(学校マスタ!$L18&lt;&gt;"",学校マスタ!$L18&gt;=M$3,学校マスタ!$L18&lt;M$3+7)),"◆",IF(AND(学校マスタ!$O18&lt;&gt;"",学校マスタ!$P18&lt;&gt;"",学校マスタ!$O18&lt;M$3+7,学校マスタ!$P18&gt;=M$3),"█",IF(AND(学校マスタ!$R18&lt;&gt;"",学校マスタ!$U18&lt;&gt;"",学校マスタ!$R18&lt;M$3+7,学校マスタ!$U18&gt;=M$3),"▒","")))))</f>
        <v/>
      </c>
      <c r="N20" s="26">
        <f>IF(学校マスタ!$A18="","",IF(AND(学校マスタ!$U18&lt;&gt;"",学校マスタ!$U18&gt;=N$3,学校マスタ!$U18&lt;N$3+7),"◎",IF(OR(AND(学校マスタ!$H18&lt;&gt;"",学校マスタ!$H18&gt;=N$3,学校マスタ!$H18&lt;N$3+7),AND(学校マスタ!$J18&lt;&gt;"",学校マスタ!$J18&gt;=N$3,学校マスタ!$J18&lt;N$3+7),AND(学校マスタ!$L18&lt;&gt;"",学校マスタ!$L18&gt;=N$3,学校マスタ!$L18&lt;N$3+7)),"◆",IF(AND(学校マスタ!$O18&lt;&gt;"",学校マスタ!$P18&lt;&gt;"",学校マスタ!$O18&lt;N$3+7,学校マスタ!$P18&gt;=N$3),"█",IF(AND(学校マスタ!$R18&lt;&gt;"",学校マスタ!$U18&lt;&gt;"",学校マスタ!$R18&lt;N$3+7,学校マスタ!$U18&gt;=N$3),"▒","")))))</f>
        <v/>
      </c>
      <c r="O20" s="26">
        <f>IF(学校マスタ!$A18="","",IF(AND(学校マスタ!$U18&lt;&gt;"",学校マスタ!$U18&gt;=O$3,学校マスタ!$U18&lt;O$3+7),"◎",IF(OR(AND(学校マスタ!$H18&lt;&gt;"",学校マスタ!$H18&gt;=O$3,学校マスタ!$H18&lt;O$3+7),AND(学校マスタ!$J18&lt;&gt;"",学校マスタ!$J18&gt;=O$3,学校マスタ!$J18&lt;O$3+7),AND(学校マスタ!$L18&lt;&gt;"",学校マスタ!$L18&gt;=O$3,学校マスタ!$L18&lt;O$3+7)),"◆",IF(AND(学校マスタ!$O18&lt;&gt;"",学校マスタ!$P18&lt;&gt;"",学校マスタ!$O18&lt;O$3+7,学校マスタ!$P18&gt;=O$3),"█",IF(AND(学校マスタ!$R18&lt;&gt;"",学校マスタ!$U18&lt;&gt;"",学校マスタ!$R18&lt;O$3+7,学校マスタ!$U18&gt;=O$3),"▒","")))))</f>
        <v/>
      </c>
      <c r="P20" s="26">
        <f>IF(学校マスタ!$A18="","",IF(AND(学校マスタ!$U18&lt;&gt;"",学校マスタ!$U18&gt;=P$3,学校マスタ!$U18&lt;P$3+7),"◎",IF(OR(AND(学校マスタ!$H18&lt;&gt;"",学校マスタ!$H18&gt;=P$3,学校マスタ!$H18&lt;P$3+7),AND(学校マスタ!$J18&lt;&gt;"",学校マスタ!$J18&gt;=P$3,学校マスタ!$J18&lt;P$3+7),AND(学校マスタ!$L18&lt;&gt;"",学校マスタ!$L18&gt;=P$3,学校マスタ!$L18&lt;P$3+7)),"◆",IF(AND(学校マスタ!$O18&lt;&gt;"",学校マスタ!$P18&lt;&gt;"",学校マスタ!$O18&lt;P$3+7,学校マスタ!$P18&gt;=P$3),"█",IF(AND(学校マスタ!$R18&lt;&gt;"",学校マスタ!$U18&lt;&gt;"",学校マスタ!$R18&lt;P$3+7,学校マスタ!$U18&gt;=P$3),"▒","")))))</f>
        <v/>
      </c>
      <c r="Q20" s="26">
        <f>IF(学校マスタ!$A18="","",IF(AND(学校マスタ!$U18&lt;&gt;"",学校マスタ!$U18&gt;=Q$3,学校マスタ!$U18&lt;Q$3+7),"◎",IF(OR(AND(学校マスタ!$H18&lt;&gt;"",学校マスタ!$H18&gt;=Q$3,学校マスタ!$H18&lt;Q$3+7),AND(学校マスタ!$J18&lt;&gt;"",学校マスタ!$J18&gt;=Q$3,学校マスタ!$J18&lt;Q$3+7),AND(学校マスタ!$L18&lt;&gt;"",学校マスタ!$L18&gt;=Q$3,学校マスタ!$L18&lt;Q$3+7)),"◆",IF(AND(学校マスタ!$O18&lt;&gt;"",学校マスタ!$P18&lt;&gt;"",学校マスタ!$O18&lt;Q$3+7,学校マスタ!$P18&gt;=Q$3),"█",IF(AND(学校マスタ!$R18&lt;&gt;"",学校マスタ!$U18&lt;&gt;"",学校マスタ!$R18&lt;Q$3+7,学校マスタ!$U18&gt;=Q$3),"▒","")))))</f>
        <v/>
      </c>
      <c r="R20" s="26">
        <f>IF(学校マスタ!$A18="","",IF(AND(学校マスタ!$U18&lt;&gt;"",学校マスタ!$U18&gt;=R$3,学校マスタ!$U18&lt;R$3+7),"◎",IF(OR(AND(学校マスタ!$H18&lt;&gt;"",学校マスタ!$H18&gt;=R$3,学校マスタ!$H18&lt;R$3+7),AND(学校マスタ!$J18&lt;&gt;"",学校マスタ!$J18&gt;=R$3,学校マスタ!$J18&lt;R$3+7),AND(学校マスタ!$L18&lt;&gt;"",学校マスタ!$L18&gt;=R$3,学校マスタ!$L18&lt;R$3+7)),"◆",IF(AND(学校マスタ!$O18&lt;&gt;"",学校マスタ!$P18&lt;&gt;"",学校マスタ!$O18&lt;R$3+7,学校マスタ!$P18&gt;=R$3),"█",IF(AND(学校マスタ!$R18&lt;&gt;"",学校マスタ!$U18&lt;&gt;"",学校マスタ!$R18&lt;R$3+7,学校マスタ!$U18&gt;=R$3),"▒","")))))</f>
        <v/>
      </c>
      <c r="S20" s="26">
        <f>IF(学校マスタ!$A18="","",IF(AND(学校マスタ!$U18&lt;&gt;"",学校マスタ!$U18&gt;=S$3,学校マスタ!$U18&lt;S$3+7),"◎",IF(OR(AND(学校マスタ!$H18&lt;&gt;"",学校マスタ!$H18&gt;=S$3,学校マスタ!$H18&lt;S$3+7),AND(学校マスタ!$J18&lt;&gt;"",学校マスタ!$J18&gt;=S$3,学校マスタ!$J18&lt;S$3+7),AND(学校マスタ!$L18&lt;&gt;"",学校マスタ!$L18&gt;=S$3,学校マスタ!$L18&lt;S$3+7)),"◆",IF(AND(学校マスタ!$O18&lt;&gt;"",学校マスタ!$P18&lt;&gt;"",学校マスタ!$O18&lt;S$3+7,学校マスタ!$P18&gt;=S$3),"█",IF(AND(学校マスタ!$R18&lt;&gt;"",学校マスタ!$U18&lt;&gt;"",学校マスタ!$R18&lt;S$3+7,学校マスタ!$U18&gt;=S$3),"▒","")))))</f>
        <v/>
      </c>
      <c r="T20" s="26">
        <f>IF(学校マスタ!$A18="","",IF(AND(学校マスタ!$U18&lt;&gt;"",学校マスタ!$U18&gt;=T$3,学校マスタ!$U18&lt;T$3+7),"◎",IF(OR(AND(学校マスタ!$H18&lt;&gt;"",学校マスタ!$H18&gt;=T$3,学校マスタ!$H18&lt;T$3+7),AND(学校マスタ!$J18&lt;&gt;"",学校マスタ!$J18&gt;=T$3,学校マスタ!$J18&lt;T$3+7),AND(学校マスタ!$L18&lt;&gt;"",学校マスタ!$L18&gt;=T$3,学校マスタ!$L18&lt;T$3+7)),"◆",IF(AND(学校マスタ!$O18&lt;&gt;"",学校マスタ!$P18&lt;&gt;"",学校マスタ!$O18&lt;T$3+7,学校マスタ!$P18&gt;=T$3),"█",IF(AND(学校マスタ!$R18&lt;&gt;"",学校マスタ!$U18&lt;&gt;"",学校マスタ!$R18&lt;T$3+7,学校マスタ!$U18&gt;=T$3),"▒","")))))</f>
        <v/>
      </c>
      <c r="U20" s="26">
        <f>IF(学校マスタ!$A18="","",IF(AND(学校マスタ!$U18&lt;&gt;"",学校マスタ!$U18&gt;=U$3,学校マスタ!$U18&lt;U$3+7),"◎",IF(OR(AND(学校マスタ!$H18&lt;&gt;"",学校マスタ!$H18&gt;=U$3,学校マスタ!$H18&lt;U$3+7),AND(学校マスタ!$J18&lt;&gt;"",学校マスタ!$J18&gt;=U$3,学校マスタ!$J18&lt;U$3+7),AND(学校マスタ!$L18&lt;&gt;"",学校マスタ!$L18&gt;=U$3,学校マスタ!$L18&lt;U$3+7)),"◆",IF(AND(学校マスタ!$O18&lt;&gt;"",学校マスタ!$P18&lt;&gt;"",学校マスタ!$O18&lt;U$3+7,学校マスタ!$P18&gt;=U$3),"█",IF(AND(学校マスタ!$R18&lt;&gt;"",学校マスタ!$U18&lt;&gt;"",学校マスタ!$R18&lt;U$3+7,学校マスタ!$U18&gt;=U$3),"▒","")))))</f>
        <v/>
      </c>
      <c r="V20" s="26">
        <f>IF(学校マスタ!$A18="","",IF(AND(学校マスタ!$U18&lt;&gt;"",学校マスタ!$U18&gt;=V$3,学校マスタ!$U18&lt;V$3+7),"◎",IF(OR(AND(学校マスタ!$H18&lt;&gt;"",学校マスタ!$H18&gt;=V$3,学校マスタ!$H18&lt;V$3+7),AND(学校マスタ!$J18&lt;&gt;"",学校マスタ!$J18&gt;=V$3,学校マスタ!$J18&lt;V$3+7),AND(学校マスタ!$L18&lt;&gt;"",学校マスタ!$L18&gt;=V$3,学校マスタ!$L18&lt;V$3+7)),"◆",IF(AND(学校マスタ!$O18&lt;&gt;"",学校マスタ!$P18&lt;&gt;"",学校マスタ!$O18&lt;V$3+7,学校マスタ!$P18&gt;=V$3),"█",IF(AND(学校マスタ!$R18&lt;&gt;"",学校マスタ!$U18&lt;&gt;"",学校マスタ!$R18&lt;V$3+7,学校マスタ!$U18&gt;=V$3),"▒","")))))</f>
        <v/>
      </c>
      <c r="W20" s="26">
        <f>IF(学校マスタ!$A18="","",IF(AND(学校マスタ!$U18&lt;&gt;"",学校マスタ!$U18&gt;=W$3,学校マスタ!$U18&lt;W$3+7),"◎",IF(OR(AND(学校マスタ!$H18&lt;&gt;"",学校マスタ!$H18&gt;=W$3,学校マスタ!$H18&lt;W$3+7),AND(学校マスタ!$J18&lt;&gt;"",学校マスタ!$J18&gt;=W$3,学校マスタ!$J18&lt;W$3+7),AND(学校マスタ!$L18&lt;&gt;"",学校マスタ!$L18&gt;=W$3,学校マスタ!$L18&lt;W$3+7)),"◆",IF(AND(学校マスタ!$O18&lt;&gt;"",学校マスタ!$P18&lt;&gt;"",学校マスタ!$O18&lt;W$3+7,学校マスタ!$P18&gt;=W$3),"█",IF(AND(学校マスタ!$R18&lt;&gt;"",学校マスタ!$U18&lt;&gt;"",学校マスタ!$R18&lt;W$3+7,学校マスタ!$U18&gt;=W$3),"▒","")))))</f>
        <v/>
      </c>
      <c r="X20" s="26">
        <f>IF(学校マスタ!$A18="","",IF(AND(学校マスタ!$U18&lt;&gt;"",学校マスタ!$U18&gt;=X$3,学校マスタ!$U18&lt;X$3+7),"◎",IF(OR(AND(学校マスタ!$H18&lt;&gt;"",学校マスタ!$H18&gt;=X$3,学校マスタ!$H18&lt;X$3+7),AND(学校マスタ!$J18&lt;&gt;"",学校マスタ!$J18&gt;=X$3,学校マスタ!$J18&lt;X$3+7),AND(学校マスタ!$L18&lt;&gt;"",学校マスタ!$L18&gt;=X$3,学校マスタ!$L18&lt;X$3+7)),"◆",IF(AND(学校マスタ!$O18&lt;&gt;"",学校マスタ!$P18&lt;&gt;"",学校マスタ!$O18&lt;X$3+7,学校マスタ!$P18&gt;=X$3),"█",IF(AND(学校マスタ!$R18&lt;&gt;"",学校マスタ!$U18&lt;&gt;"",学校マスタ!$R18&lt;X$3+7,学校マスタ!$U18&gt;=X$3),"▒","")))))</f>
        <v/>
      </c>
      <c r="Y20" s="26">
        <f>IF(学校マスタ!$A18="","",IF(AND(学校マスタ!$U18&lt;&gt;"",学校マスタ!$U18&gt;=Y$3,学校マスタ!$U18&lt;Y$3+7),"◎",IF(OR(AND(学校マスタ!$H18&lt;&gt;"",学校マスタ!$H18&gt;=Y$3,学校マスタ!$H18&lt;Y$3+7),AND(学校マスタ!$J18&lt;&gt;"",学校マスタ!$J18&gt;=Y$3,学校マスタ!$J18&lt;Y$3+7),AND(学校マスタ!$L18&lt;&gt;"",学校マスタ!$L18&gt;=Y$3,学校マスタ!$L18&lt;Y$3+7)),"◆",IF(AND(学校マスタ!$O18&lt;&gt;"",学校マスタ!$P18&lt;&gt;"",学校マスタ!$O18&lt;Y$3+7,学校マスタ!$P18&gt;=Y$3),"█",IF(AND(学校マスタ!$R18&lt;&gt;"",学校マスタ!$U18&lt;&gt;"",学校マスタ!$R18&lt;Y$3+7,学校マスタ!$U18&gt;=Y$3),"▒","")))))</f>
        <v/>
      </c>
      <c r="Z20" s="26">
        <f>IF(学校マスタ!$A18="","",IF(AND(学校マスタ!$U18&lt;&gt;"",学校マスタ!$U18&gt;=Z$3,学校マスタ!$U18&lt;Z$3+7),"◎",IF(OR(AND(学校マスタ!$H18&lt;&gt;"",学校マスタ!$H18&gt;=Z$3,学校マスタ!$H18&lt;Z$3+7),AND(学校マスタ!$J18&lt;&gt;"",学校マスタ!$J18&gt;=Z$3,学校マスタ!$J18&lt;Z$3+7),AND(学校マスタ!$L18&lt;&gt;"",学校マスタ!$L18&gt;=Z$3,学校マスタ!$L18&lt;Z$3+7)),"◆",IF(AND(学校マスタ!$O18&lt;&gt;"",学校マスタ!$P18&lt;&gt;"",学校マスタ!$O18&lt;Z$3+7,学校マスタ!$P18&gt;=Z$3),"█",IF(AND(学校マスタ!$R18&lt;&gt;"",学校マスタ!$U18&lt;&gt;"",学校マスタ!$R18&lt;Z$3+7,学校マスタ!$U18&gt;=Z$3),"▒","")))))</f>
        <v/>
      </c>
      <c r="AA20" s="26">
        <f>IF(学校マスタ!$A18="","",IF(AND(学校マスタ!$U18&lt;&gt;"",学校マスタ!$U18&gt;=AA$3,学校マスタ!$U18&lt;AA$3+7),"◎",IF(OR(AND(学校マスタ!$H18&lt;&gt;"",学校マスタ!$H18&gt;=AA$3,学校マスタ!$H18&lt;AA$3+7),AND(学校マスタ!$J18&lt;&gt;"",学校マスタ!$J18&gt;=AA$3,学校マスタ!$J18&lt;AA$3+7),AND(学校マスタ!$L18&lt;&gt;"",学校マスタ!$L18&gt;=AA$3,学校マスタ!$L18&lt;AA$3+7)),"◆",IF(AND(学校マスタ!$O18&lt;&gt;"",学校マスタ!$P18&lt;&gt;"",学校マスタ!$O18&lt;AA$3+7,学校マスタ!$P18&gt;=AA$3),"█",IF(AND(学校マスタ!$R18&lt;&gt;"",学校マスタ!$U18&lt;&gt;"",学校マスタ!$R18&lt;AA$3+7,学校マスタ!$U18&gt;=AA$3),"▒","")))))</f>
        <v/>
      </c>
      <c r="AB20" s="26">
        <f>IF(学校マスタ!$A18="","",IF(AND(学校マスタ!$U18&lt;&gt;"",学校マスタ!$U18&gt;=AB$3,学校マスタ!$U18&lt;AB$3+7),"◎",IF(OR(AND(学校マスタ!$H18&lt;&gt;"",学校マスタ!$H18&gt;=AB$3,学校マスタ!$H18&lt;AB$3+7),AND(学校マスタ!$J18&lt;&gt;"",学校マスタ!$J18&gt;=AB$3,学校マスタ!$J18&lt;AB$3+7),AND(学校マスタ!$L18&lt;&gt;"",学校マスタ!$L18&gt;=AB$3,学校マスタ!$L18&lt;AB$3+7)),"◆",IF(AND(学校マスタ!$O18&lt;&gt;"",学校マスタ!$P18&lt;&gt;"",学校マスタ!$O18&lt;AB$3+7,学校マスタ!$P18&gt;=AB$3),"█",IF(AND(学校マスタ!$R18&lt;&gt;"",学校マスタ!$U18&lt;&gt;"",学校マスタ!$R18&lt;AB$3+7,学校マスタ!$U18&gt;=AB$3),"▒","")))))</f>
        <v/>
      </c>
    </row>
    <row r="21">
      <c r="A21" s="19">
        <f>IF(学校マスタ!$A19="","",学校マスタ!$A19)</f>
        <v/>
      </c>
      <c r="B21" s="19">
        <f>IF(学校マスタ!$A19="","",学校マスタ!$C19)</f>
        <v/>
      </c>
      <c r="C21" s="19">
        <f>IF(学校マスタ!$A19="","",学校マスタ!$X19)</f>
        <v/>
      </c>
      <c r="D21" s="25">
        <f>IF(学校マスタ!$A19="","",学校マスタ!$R19)</f>
        <v/>
      </c>
      <c r="E21" s="26">
        <f>IF(学校マスタ!$A19="","",IF(AND(学校マスタ!$U19&lt;&gt;"",学校マスタ!$U19&gt;=E$3,学校マスタ!$U19&lt;E$3+7),"◎",IF(OR(AND(学校マスタ!$H19&lt;&gt;"",学校マスタ!$H19&gt;=E$3,学校マスタ!$H19&lt;E$3+7),AND(学校マスタ!$J19&lt;&gt;"",学校マスタ!$J19&gt;=E$3,学校マスタ!$J19&lt;E$3+7),AND(学校マスタ!$L19&lt;&gt;"",学校マスタ!$L19&gt;=E$3,学校マスタ!$L19&lt;E$3+7)),"◆",IF(AND(学校マスタ!$O19&lt;&gt;"",学校マスタ!$P19&lt;&gt;"",学校マスタ!$O19&lt;E$3+7,学校マスタ!$P19&gt;=E$3),"█",IF(AND(学校マスタ!$R19&lt;&gt;"",学校マスタ!$U19&lt;&gt;"",学校マスタ!$R19&lt;E$3+7,学校マスタ!$U19&gt;=E$3),"▒","")))))</f>
        <v/>
      </c>
      <c r="F21" s="26">
        <f>IF(学校マスタ!$A19="","",IF(AND(学校マスタ!$U19&lt;&gt;"",学校マスタ!$U19&gt;=F$3,学校マスタ!$U19&lt;F$3+7),"◎",IF(OR(AND(学校マスタ!$H19&lt;&gt;"",学校マスタ!$H19&gt;=F$3,学校マスタ!$H19&lt;F$3+7),AND(学校マスタ!$J19&lt;&gt;"",学校マスタ!$J19&gt;=F$3,学校マスタ!$J19&lt;F$3+7),AND(学校マスタ!$L19&lt;&gt;"",学校マスタ!$L19&gt;=F$3,学校マスタ!$L19&lt;F$3+7)),"◆",IF(AND(学校マスタ!$O19&lt;&gt;"",学校マスタ!$P19&lt;&gt;"",学校マスタ!$O19&lt;F$3+7,学校マスタ!$P19&gt;=F$3),"█",IF(AND(学校マスタ!$R19&lt;&gt;"",学校マスタ!$U19&lt;&gt;"",学校マスタ!$R19&lt;F$3+7,学校マスタ!$U19&gt;=F$3),"▒","")))))</f>
        <v/>
      </c>
      <c r="G21" s="26">
        <f>IF(学校マスタ!$A19="","",IF(AND(学校マスタ!$U19&lt;&gt;"",学校マスタ!$U19&gt;=G$3,学校マスタ!$U19&lt;G$3+7),"◎",IF(OR(AND(学校マスタ!$H19&lt;&gt;"",学校マスタ!$H19&gt;=G$3,学校マスタ!$H19&lt;G$3+7),AND(学校マスタ!$J19&lt;&gt;"",学校マスタ!$J19&gt;=G$3,学校マスタ!$J19&lt;G$3+7),AND(学校マスタ!$L19&lt;&gt;"",学校マスタ!$L19&gt;=G$3,学校マスタ!$L19&lt;G$3+7)),"◆",IF(AND(学校マスタ!$O19&lt;&gt;"",学校マスタ!$P19&lt;&gt;"",学校マスタ!$O19&lt;G$3+7,学校マスタ!$P19&gt;=G$3),"█",IF(AND(学校マスタ!$R19&lt;&gt;"",学校マスタ!$U19&lt;&gt;"",学校マスタ!$R19&lt;G$3+7,学校マスタ!$U19&gt;=G$3),"▒","")))))</f>
        <v/>
      </c>
      <c r="H21" s="26">
        <f>IF(学校マスタ!$A19="","",IF(AND(学校マスタ!$U19&lt;&gt;"",学校マスタ!$U19&gt;=H$3,学校マスタ!$U19&lt;H$3+7),"◎",IF(OR(AND(学校マスタ!$H19&lt;&gt;"",学校マスタ!$H19&gt;=H$3,学校マスタ!$H19&lt;H$3+7),AND(学校マスタ!$J19&lt;&gt;"",学校マスタ!$J19&gt;=H$3,学校マスタ!$J19&lt;H$3+7),AND(学校マスタ!$L19&lt;&gt;"",学校マスタ!$L19&gt;=H$3,学校マスタ!$L19&lt;H$3+7)),"◆",IF(AND(学校マスタ!$O19&lt;&gt;"",学校マスタ!$P19&lt;&gt;"",学校マスタ!$O19&lt;H$3+7,学校マスタ!$P19&gt;=H$3),"█",IF(AND(学校マスタ!$R19&lt;&gt;"",学校マスタ!$U19&lt;&gt;"",学校マスタ!$R19&lt;H$3+7,学校マスタ!$U19&gt;=H$3),"▒","")))))</f>
        <v/>
      </c>
      <c r="I21" s="26">
        <f>IF(学校マスタ!$A19="","",IF(AND(学校マスタ!$U19&lt;&gt;"",学校マスタ!$U19&gt;=I$3,学校マスタ!$U19&lt;I$3+7),"◎",IF(OR(AND(学校マスタ!$H19&lt;&gt;"",学校マスタ!$H19&gt;=I$3,学校マスタ!$H19&lt;I$3+7),AND(学校マスタ!$J19&lt;&gt;"",学校マスタ!$J19&gt;=I$3,学校マスタ!$J19&lt;I$3+7),AND(学校マスタ!$L19&lt;&gt;"",学校マスタ!$L19&gt;=I$3,学校マスタ!$L19&lt;I$3+7)),"◆",IF(AND(学校マスタ!$O19&lt;&gt;"",学校マスタ!$P19&lt;&gt;"",学校マスタ!$O19&lt;I$3+7,学校マスタ!$P19&gt;=I$3),"█",IF(AND(学校マスタ!$R19&lt;&gt;"",学校マスタ!$U19&lt;&gt;"",学校マスタ!$R19&lt;I$3+7,学校マスタ!$U19&gt;=I$3),"▒","")))))</f>
        <v/>
      </c>
      <c r="J21" s="26">
        <f>IF(学校マスタ!$A19="","",IF(AND(学校マスタ!$U19&lt;&gt;"",学校マスタ!$U19&gt;=J$3,学校マスタ!$U19&lt;J$3+7),"◎",IF(OR(AND(学校マスタ!$H19&lt;&gt;"",学校マスタ!$H19&gt;=J$3,学校マスタ!$H19&lt;J$3+7),AND(学校マスタ!$J19&lt;&gt;"",学校マスタ!$J19&gt;=J$3,学校マスタ!$J19&lt;J$3+7),AND(学校マスタ!$L19&lt;&gt;"",学校マスタ!$L19&gt;=J$3,学校マスタ!$L19&lt;J$3+7)),"◆",IF(AND(学校マスタ!$O19&lt;&gt;"",学校マスタ!$P19&lt;&gt;"",学校マスタ!$O19&lt;J$3+7,学校マスタ!$P19&gt;=J$3),"█",IF(AND(学校マスタ!$R19&lt;&gt;"",学校マスタ!$U19&lt;&gt;"",学校マスタ!$R19&lt;J$3+7,学校マスタ!$U19&gt;=J$3),"▒","")))))</f>
        <v/>
      </c>
      <c r="K21" s="26">
        <f>IF(学校マスタ!$A19="","",IF(AND(学校マスタ!$U19&lt;&gt;"",学校マスタ!$U19&gt;=K$3,学校マスタ!$U19&lt;K$3+7),"◎",IF(OR(AND(学校マスタ!$H19&lt;&gt;"",学校マスタ!$H19&gt;=K$3,学校マスタ!$H19&lt;K$3+7),AND(学校マスタ!$J19&lt;&gt;"",学校マスタ!$J19&gt;=K$3,学校マスタ!$J19&lt;K$3+7),AND(学校マスタ!$L19&lt;&gt;"",学校マスタ!$L19&gt;=K$3,学校マスタ!$L19&lt;K$3+7)),"◆",IF(AND(学校マスタ!$O19&lt;&gt;"",学校マスタ!$P19&lt;&gt;"",学校マスタ!$O19&lt;K$3+7,学校マスタ!$P19&gt;=K$3),"█",IF(AND(学校マスタ!$R19&lt;&gt;"",学校マスタ!$U19&lt;&gt;"",学校マスタ!$R19&lt;K$3+7,学校マスタ!$U19&gt;=K$3),"▒","")))))</f>
        <v/>
      </c>
      <c r="L21" s="26">
        <f>IF(学校マスタ!$A19="","",IF(AND(学校マスタ!$U19&lt;&gt;"",学校マスタ!$U19&gt;=L$3,学校マスタ!$U19&lt;L$3+7),"◎",IF(OR(AND(学校マスタ!$H19&lt;&gt;"",学校マスタ!$H19&gt;=L$3,学校マスタ!$H19&lt;L$3+7),AND(学校マスタ!$J19&lt;&gt;"",学校マスタ!$J19&gt;=L$3,学校マスタ!$J19&lt;L$3+7),AND(学校マスタ!$L19&lt;&gt;"",学校マスタ!$L19&gt;=L$3,学校マスタ!$L19&lt;L$3+7)),"◆",IF(AND(学校マスタ!$O19&lt;&gt;"",学校マスタ!$P19&lt;&gt;"",学校マスタ!$O19&lt;L$3+7,学校マスタ!$P19&gt;=L$3),"█",IF(AND(学校マスタ!$R19&lt;&gt;"",学校マスタ!$U19&lt;&gt;"",学校マスタ!$R19&lt;L$3+7,学校マスタ!$U19&gt;=L$3),"▒","")))))</f>
        <v/>
      </c>
      <c r="M21" s="26">
        <f>IF(学校マスタ!$A19="","",IF(AND(学校マスタ!$U19&lt;&gt;"",学校マスタ!$U19&gt;=M$3,学校マスタ!$U19&lt;M$3+7),"◎",IF(OR(AND(学校マスタ!$H19&lt;&gt;"",学校マスタ!$H19&gt;=M$3,学校マスタ!$H19&lt;M$3+7),AND(学校マスタ!$J19&lt;&gt;"",学校マスタ!$J19&gt;=M$3,学校マスタ!$J19&lt;M$3+7),AND(学校マスタ!$L19&lt;&gt;"",学校マスタ!$L19&gt;=M$3,学校マスタ!$L19&lt;M$3+7)),"◆",IF(AND(学校マスタ!$O19&lt;&gt;"",学校マスタ!$P19&lt;&gt;"",学校マスタ!$O19&lt;M$3+7,学校マスタ!$P19&gt;=M$3),"█",IF(AND(学校マスタ!$R19&lt;&gt;"",学校マスタ!$U19&lt;&gt;"",学校マスタ!$R19&lt;M$3+7,学校マスタ!$U19&gt;=M$3),"▒","")))))</f>
        <v/>
      </c>
      <c r="N21" s="26">
        <f>IF(学校マスタ!$A19="","",IF(AND(学校マスタ!$U19&lt;&gt;"",学校マスタ!$U19&gt;=N$3,学校マスタ!$U19&lt;N$3+7),"◎",IF(OR(AND(学校マスタ!$H19&lt;&gt;"",学校マスタ!$H19&gt;=N$3,学校マスタ!$H19&lt;N$3+7),AND(学校マスタ!$J19&lt;&gt;"",学校マスタ!$J19&gt;=N$3,学校マスタ!$J19&lt;N$3+7),AND(学校マスタ!$L19&lt;&gt;"",学校マスタ!$L19&gt;=N$3,学校マスタ!$L19&lt;N$3+7)),"◆",IF(AND(学校マスタ!$O19&lt;&gt;"",学校マスタ!$P19&lt;&gt;"",学校マスタ!$O19&lt;N$3+7,学校マスタ!$P19&gt;=N$3),"█",IF(AND(学校マスタ!$R19&lt;&gt;"",学校マスタ!$U19&lt;&gt;"",学校マスタ!$R19&lt;N$3+7,学校マスタ!$U19&gt;=N$3),"▒","")))))</f>
        <v/>
      </c>
      <c r="O21" s="26">
        <f>IF(学校マスタ!$A19="","",IF(AND(学校マスタ!$U19&lt;&gt;"",学校マスタ!$U19&gt;=O$3,学校マスタ!$U19&lt;O$3+7),"◎",IF(OR(AND(学校マスタ!$H19&lt;&gt;"",学校マスタ!$H19&gt;=O$3,学校マスタ!$H19&lt;O$3+7),AND(学校マスタ!$J19&lt;&gt;"",学校マスタ!$J19&gt;=O$3,学校マスタ!$J19&lt;O$3+7),AND(学校マスタ!$L19&lt;&gt;"",学校マスタ!$L19&gt;=O$3,学校マスタ!$L19&lt;O$3+7)),"◆",IF(AND(学校マスタ!$O19&lt;&gt;"",学校マスタ!$P19&lt;&gt;"",学校マスタ!$O19&lt;O$3+7,学校マスタ!$P19&gt;=O$3),"█",IF(AND(学校マスタ!$R19&lt;&gt;"",学校マスタ!$U19&lt;&gt;"",学校マスタ!$R19&lt;O$3+7,学校マスタ!$U19&gt;=O$3),"▒","")))))</f>
        <v/>
      </c>
      <c r="P21" s="26">
        <f>IF(学校マスタ!$A19="","",IF(AND(学校マスタ!$U19&lt;&gt;"",学校マスタ!$U19&gt;=P$3,学校マスタ!$U19&lt;P$3+7),"◎",IF(OR(AND(学校マスタ!$H19&lt;&gt;"",学校マスタ!$H19&gt;=P$3,学校マスタ!$H19&lt;P$3+7),AND(学校マスタ!$J19&lt;&gt;"",学校マスタ!$J19&gt;=P$3,学校マスタ!$J19&lt;P$3+7),AND(学校マスタ!$L19&lt;&gt;"",学校マスタ!$L19&gt;=P$3,学校マスタ!$L19&lt;P$3+7)),"◆",IF(AND(学校マスタ!$O19&lt;&gt;"",学校マスタ!$P19&lt;&gt;"",学校マスタ!$O19&lt;P$3+7,学校マスタ!$P19&gt;=P$3),"█",IF(AND(学校マスタ!$R19&lt;&gt;"",学校マスタ!$U19&lt;&gt;"",学校マスタ!$R19&lt;P$3+7,学校マスタ!$U19&gt;=P$3),"▒","")))))</f>
        <v/>
      </c>
      <c r="Q21" s="26">
        <f>IF(学校マスタ!$A19="","",IF(AND(学校マスタ!$U19&lt;&gt;"",学校マスタ!$U19&gt;=Q$3,学校マスタ!$U19&lt;Q$3+7),"◎",IF(OR(AND(学校マスタ!$H19&lt;&gt;"",学校マスタ!$H19&gt;=Q$3,学校マスタ!$H19&lt;Q$3+7),AND(学校マスタ!$J19&lt;&gt;"",学校マスタ!$J19&gt;=Q$3,学校マスタ!$J19&lt;Q$3+7),AND(学校マスタ!$L19&lt;&gt;"",学校マスタ!$L19&gt;=Q$3,学校マスタ!$L19&lt;Q$3+7)),"◆",IF(AND(学校マスタ!$O19&lt;&gt;"",学校マスタ!$P19&lt;&gt;"",学校マスタ!$O19&lt;Q$3+7,学校マスタ!$P19&gt;=Q$3),"█",IF(AND(学校マスタ!$R19&lt;&gt;"",学校マスタ!$U19&lt;&gt;"",学校マスタ!$R19&lt;Q$3+7,学校マスタ!$U19&gt;=Q$3),"▒","")))))</f>
        <v/>
      </c>
      <c r="R21" s="26">
        <f>IF(学校マスタ!$A19="","",IF(AND(学校マスタ!$U19&lt;&gt;"",学校マスタ!$U19&gt;=R$3,学校マスタ!$U19&lt;R$3+7),"◎",IF(OR(AND(学校マスタ!$H19&lt;&gt;"",学校マスタ!$H19&gt;=R$3,学校マスタ!$H19&lt;R$3+7),AND(学校マスタ!$J19&lt;&gt;"",学校マスタ!$J19&gt;=R$3,学校マスタ!$J19&lt;R$3+7),AND(学校マスタ!$L19&lt;&gt;"",学校マスタ!$L19&gt;=R$3,学校マスタ!$L19&lt;R$3+7)),"◆",IF(AND(学校マスタ!$O19&lt;&gt;"",学校マスタ!$P19&lt;&gt;"",学校マスタ!$O19&lt;R$3+7,学校マスタ!$P19&gt;=R$3),"█",IF(AND(学校マスタ!$R19&lt;&gt;"",学校マスタ!$U19&lt;&gt;"",学校マスタ!$R19&lt;R$3+7,学校マスタ!$U19&gt;=R$3),"▒","")))))</f>
        <v/>
      </c>
      <c r="S21" s="26">
        <f>IF(学校マスタ!$A19="","",IF(AND(学校マスタ!$U19&lt;&gt;"",学校マスタ!$U19&gt;=S$3,学校マスタ!$U19&lt;S$3+7),"◎",IF(OR(AND(学校マスタ!$H19&lt;&gt;"",学校マスタ!$H19&gt;=S$3,学校マスタ!$H19&lt;S$3+7),AND(学校マスタ!$J19&lt;&gt;"",学校マスタ!$J19&gt;=S$3,学校マスタ!$J19&lt;S$3+7),AND(学校マスタ!$L19&lt;&gt;"",学校マスタ!$L19&gt;=S$3,学校マスタ!$L19&lt;S$3+7)),"◆",IF(AND(学校マスタ!$O19&lt;&gt;"",学校マスタ!$P19&lt;&gt;"",学校マスタ!$O19&lt;S$3+7,学校マスタ!$P19&gt;=S$3),"█",IF(AND(学校マスタ!$R19&lt;&gt;"",学校マスタ!$U19&lt;&gt;"",学校マスタ!$R19&lt;S$3+7,学校マスタ!$U19&gt;=S$3),"▒","")))))</f>
        <v/>
      </c>
      <c r="T21" s="26">
        <f>IF(学校マスタ!$A19="","",IF(AND(学校マスタ!$U19&lt;&gt;"",学校マスタ!$U19&gt;=T$3,学校マスタ!$U19&lt;T$3+7),"◎",IF(OR(AND(学校マスタ!$H19&lt;&gt;"",学校マスタ!$H19&gt;=T$3,学校マスタ!$H19&lt;T$3+7),AND(学校マスタ!$J19&lt;&gt;"",学校マスタ!$J19&gt;=T$3,学校マスタ!$J19&lt;T$3+7),AND(学校マスタ!$L19&lt;&gt;"",学校マスタ!$L19&gt;=T$3,学校マスタ!$L19&lt;T$3+7)),"◆",IF(AND(学校マスタ!$O19&lt;&gt;"",学校マスタ!$P19&lt;&gt;"",学校マスタ!$O19&lt;T$3+7,学校マスタ!$P19&gt;=T$3),"█",IF(AND(学校マスタ!$R19&lt;&gt;"",学校マスタ!$U19&lt;&gt;"",学校マスタ!$R19&lt;T$3+7,学校マスタ!$U19&gt;=T$3),"▒","")))))</f>
        <v/>
      </c>
      <c r="U21" s="26">
        <f>IF(学校マスタ!$A19="","",IF(AND(学校マスタ!$U19&lt;&gt;"",学校マスタ!$U19&gt;=U$3,学校マスタ!$U19&lt;U$3+7),"◎",IF(OR(AND(学校マスタ!$H19&lt;&gt;"",学校マスタ!$H19&gt;=U$3,学校マスタ!$H19&lt;U$3+7),AND(学校マスタ!$J19&lt;&gt;"",学校マスタ!$J19&gt;=U$3,学校マスタ!$J19&lt;U$3+7),AND(学校マスタ!$L19&lt;&gt;"",学校マスタ!$L19&gt;=U$3,学校マスタ!$L19&lt;U$3+7)),"◆",IF(AND(学校マスタ!$O19&lt;&gt;"",学校マスタ!$P19&lt;&gt;"",学校マスタ!$O19&lt;U$3+7,学校マスタ!$P19&gt;=U$3),"█",IF(AND(学校マスタ!$R19&lt;&gt;"",学校マスタ!$U19&lt;&gt;"",学校マスタ!$R19&lt;U$3+7,学校マスタ!$U19&gt;=U$3),"▒","")))))</f>
        <v/>
      </c>
      <c r="V21" s="26">
        <f>IF(学校マスタ!$A19="","",IF(AND(学校マスタ!$U19&lt;&gt;"",学校マスタ!$U19&gt;=V$3,学校マスタ!$U19&lt;V$3+7),"◎",IF(OR(AND(学校マスタ!$H19&lt;&gt;"",学校マスタ!$H19&gt;=V$3,学校マスタ!$H19&lt;V$3+7),AND(学校マスタ!$J19&lt;&gt;"",学校マスタ!$J19&gt;=V$3,学校マスタ!$J19&lt;V$3+7),AND(学校マスタ!$L19&lt;&gt;"",学校マスタ!$L19&gt;=V$3,学校マスタ!$L19&lt;V$3+7)),"◆",IF(AND(学校マスタ!$O19&lt;&gt;"",学校マスタ!$P19&lt;&gt;"",学校マスタ!$O19&lt;V$3+7,学校マスタ!$P19&gt;=V$3),"█",IF(AND(学校マスタ!$R19&lt;&gt;"",学校マスタ!$U19&lt;&gt;"",学校マスタ!$R19&lt;V$3+7,学校マスタ!$U19&gt;=V$3),"▒","")))))</f>
        <v/>
      </c>
      <c r="W21" s="26">
        <f>IF(学校マスタ!$A19="","",IF(AND(学校マスタ!$U19&lt;&gt;"",学校マスタ!$U19&gt;=W$3,学校マスタ!$U19&lt;W$3+7),"◎",IF(OR(AND(学校マスタ!$H19&lt;&gt;"",学校マスタ!$H19&gt;=W$3,学校マスタ!$H19&lt;W$3+7),AND(学校マスタ!$J19&lt;&gt;"",学校マスタ!$J19&gt;=W$3,学校マスタ!$J19&lt;W$3+7),AND(学校マスタ!$L19&lt;&gt;"",学校マスタ!$L19&gt;=W$3,学校マスタ!$L19&lt;W$3+7)),"◆",IF(AND(学校マスタ!$O19&lt;&gt;"",学校マスタ!$P19&lt;&gt;"",学校マスタ!$O19&lt;W$3+7,学校マスタ!$P19&gt;=W$3),"█",IF(AND(学校マスタ!$R19&lt;&gt;"",学校マスタ!$U19&lt;&gt;"",学校マスタ!$R19&lt;W$3+7,学校マスタ!$U19&gt;=W$3),"▒","")))))</f>
        <v/>
      </c>
      <c r="X21" s="26">
        <f>IF(学校マスタ!$A19="","",IF(AND(学校マスタ!$U19&lt;&gt;"",学校マスタ!$U19&gt;=X$3,学校マスタ!$U19&lt;X$3+7),"◎",IF(OR(AND(学校マスタ!$H19&lt;&gt;"",学校マスタ!$H19&gt;=X$3,学校マスタ!$H19&lt;X$3+7),AND(学校マスタ!$J19&lt;&gt;"",学校マスタ!$J19&gt;=X$3,学校マスタ!$J19&lt;X$3+7),AND(学校マスタ!$L19&lt;&gt;"",学校マスタ!$L19&gt;=X$3,学校マスタ!$L19&lt;X$3+7)),"◆",IF(AND(学校マスタ!$O19&lt;&gt;"",学校マスタ!$P19&lt;&gt;"",学校マスタ!$O19&lt;X$3+7,学校マスタ!$P19&gt;=X$3),"█",IF(AND(学校マスタ!$R19&lt;&gt;"",学校マスタ!$U19&lt;&gt;"",学校マスタ!$R19&lt;X$3+7,学校マスタ!$U19&gt;=X$3),"▒","")))))</f>
        <v/>
      </c>
      <c r="Y21" s="26">
        <f>IF(学校マスタ!$A19="","",IF(AND(学校マスタ!$U19&lt;&gt;"",学校マスタ!$U19&gt;=Y$3,学校マスタ!$U19&lt;Y$3+7),"◎",IF(OR(AND(学校マスタ!$H19&lt;&gt;"",学校マスタ!$H19&gt;=Y$3,学校マスタ!$H19&lt;Y$3+7),AND(学校マスタ!$J19&lt;&gt;"",学校マスタ!$J19&gt;=Y$3,学校マスタ!$J19&lt;Y$3+7),AND(学校マスタ!$L19&lt;&gt;"",学校マスタ!$L19&gt;=Y$3,学校マスタ!$L19&lt;Y$3+7)),"◆",IF(AND(学校マスタ!$O19&lt;&gt;"",学校マスタ!$P19&lt;&gt;"",学校マスタ!$O19&lt;Y$3+7,学校マスタ!$P19&gt;=Y$3),"█",IF(AND(学校マスタ!$R19&lt;&gt;"",学校マスタ!$U19&lt;&gt;"",学校マスタ!$R19&lt;Y$3+7,学校マスタ!$U19&gt;=Y$3),"▒","")))))</f>
        <v/>
      </c>
      <c r="Z21" s="26">
        <f>IF(学校マスタ!$A19="","",IF(AND(学校マスタ!$U19&lt;&gt;"",学校マスタ!$U19&gt;=Z$3,学校マスタ!$U19&lt;Z$3+7),"◎",IF(OR(AND(学校マスタ!$H19&lt;&gt;"",学校マスタ!$H19&gt;=Z$3,学校マスタ!$H19&lt;Z$3+7),AND(学校マスタ!$J19&lt;&gt;"",学校マスタ!$J19&gt;=Z$3,学校マスタ!$J19&lt;Z$3+7),AND(学校マスタ!$L19&lt;&gt;"",学校マスタ!$L19&gt;=Z$3,学校マスタ!$L19&lt;Z$3+7)),"◆",IF(AND(学校マスタ!$O19&lt;&gt;"",学校マスタ!$P19&lt;&gt;"",学校マスタ!$O19&lt;Z$3+7,学校マスタ!$P19&gt;=Z$3),"█",IF(AND(学校マスタ!$R19&lt;&gt;"",学校マスタ!$U19&lt;&gt;"",学校マスタ!$R19&lt;Z$3+7,学校マスタ!$U19&gt;=Z$3),"▒","")))))</f>
        <v/>
      </c>
      <c r="AA21" s="26">
        <f>IF(学校マスタ!$A19="","",IF(AND(学校マスタ!$U19&lt;&gt;"",学校マスタ!$U19&gt;=AA$3,学校マスタ!$U19&lt;AA$3+7),"◎",IF(OR(AND(学校マスタ!$H19&lt;&gt;"",学校マスタ!$H19&gt;=AA$3,学校マスタ!$H19&lt;AA$3+7),AND(学校マスタ!$J19&lt;&gt;"",学校マスタ!$J19&gt;=AA$3,学校マスタ!$J19&lt;AA$3+7),AND(学校マスタ!$L19&lt;&gt;"",学校マスタ!$L19&gt;=AA$3,学校マスタ!$L19&lt;AA$3+7)),"◆",IF(AND(学校マスタ!$O19&lt;&gt;"",学校マスタ!$P19&lt;&gt;"",学校マスタ!$O19&lt;AA$3+7,学校マスタ!$P19&gt;=AA$3),"█",IF(AND(学校マスタ!$R19&lt;&gt;"",学校マスタ!$U19&lt;&gt;"",学校マスタ!$R19&lt;AA$3+7,学校マスタ!$U19&gt;=AA$3),"▒","")))))</f>
        <v/>
      </c>
      <c r="AB21" s="26">
        <f>IF(学校マスタ!$A19="","",IF(AND(学校マスタ!$U19&lt;&gt;"",学校マスタ!$U19&gt;=AB$3,学校マスタ!$U19&lt;AB$3+7),"◎",IF(OR(AND(学校マスタ!$H19&lt;&gt;"",学校マスタ!$H19&gt;=AB$3,学校マスタ!$H19&lt;AB$3+7),AND(学校マスタ!$J19&lt;&gt;"",学校マスタ!$J19&gt;=AB$3,学校マスタ!$J19&lt;AB$3+7),AND(学校マスタ!$L19&lt;&gt;"",学校マスタ!$L19&gt;=AB$3,学校マスタ!$L19&lt;AB$3+7)),"◆",IF(AND(学校マスタ!$O19&lt;&gt;"",学校マスタ!$P19&lt;&gt;"",学校マスタ!$O19&lt;AB$3+7,学校マスタ!$P19&gt;=AB$3),"█",IF(AND(学校マスタ!$R19&lt;&gt;"",学校マスタ!$U19&lt;&gt;"",学校マスタ!$R19&lt;AB$3+7,学校マスタ!$U19&gt;=AB$3),"▒","")))))</f>
        <v/>
      </c>
    </row>
    <row r="22">
      <c r="A22" s="19">
        <f>IF(学校マスタ!$A20="","",学校マスタ!$A20)</f>
        <v/>
      </c>
      <c r="B22" s="19">
        <f>IF(学校マスタ!$A20="","",学校マスタ!$C20)</f>
        <v/>
      </c>
      <c r="C22" s="19">
        <f>IF(学校マスタ!$A20="","",学校マスタ!$X20)</f>
        <v/>
      </c>
      <c r="D22" s="25">
        <f>IF(学校マスタ!$A20="","",学校マスタ!$R20)</f>
        <v/>
      </c>
      <c r="E22" s="26">
        <f>IF(学校マスタ!$A20="","",IF(AND(学校マスタ!$U20&lt;&gt;"",学校マスタ!$U20&gt;=E$3,学校マスタ!$U20&lt;E$3+7),"◎",IF(OR(AND(学校マスタ!$H20&lt;&gt;"",学校マスタ!$H20&gt;=E$3,学校マスタ!$H20&lt;E$3+7),AND(学校マスタ!$J20&lt;&gt;"",学校マスタ!$J20&gt;=E$3,学校マスタ!$J20&lt;E$3+7),AND(学校マスタ!$L20&lt;&gt;"",学校マスタ!$L20&gt;=E$3,学校マスタ!$L20&lt;E$3+7)),"◆",IF(AND(学校マスタ!$O20&lt;&gt;"",学校マスタ!$P20&lt;&gt;"",学校マスタ!$O20&lt;E$3+7,学校マスタ!$P20&gt;=E$3),"█",IF(AND(学校マスタ!$R20&lt;&gt;"",学校マスタ!$U20&lt;&gt;"",学校マスタ!$R20&lt;E$3+7,学校マスタ!$U20&gt;=E$3),"▒","")))))</f>
        <v/>
      </c>
      <c r="F22" s="26">
        <f>IF(学校マスタ!$A20="","",IF(AND(学校マスタ!$U20&lt;&gt;"",学校マスタ!$U20&gt;=F$3,学校マスタ!$U20&lt;F$3+7),"◎",IF(OR(AND(学校マスタ!$H20&lt;&gt;"",学校マスタ!$H20&gt;=F$3,学校マスタ!$H20&lt;F$3+7),AND(学校マスタ!$J20&lt;&gt;"",学校マスタ!$J20&gt;=F$3,学校マスタ!$J20&lt;F$3+7),AND(学校マスタ!$L20&lt;&gt;"",学校マスタ!$L20&gt;=F$3,学校マスタ!$L20&lt;F$3+7)),"◆",IF(AND(学校マスタ!$O20&lt;&gt;"",学校マスタ!$P20&lt;&gt;"",学校マスタ!$O20&lt;F$3+7,学校マスタ!$P20&gt;=F$3),"█",IF(AND(学校マスタ!$R20&lt;&gt;"",学校マスタ!$U20&lt;&gt;"",学校マスタ!$R20&lt;F$3+7,学校マスタ!$U20&gt;=F$3),"▒","")))))</f>
        <v/>
      </c>
      <c r="G22" s="26">
        <f>IF(学校マスタ!$A20="","",IF(AND(学校マスタ!$U20&lt;&gt;"",学校マスタ!$U20&gt;=G$3,学校マスタ!$U20&lt;G$3+7),"◎",IF(OR(AND(学校マスタ!$H20&lt;&gt;"",学校マスタ!$H20&gt;=G$3,学校マスタ!$H20&lt;G$3+7),AND(学校マスタ!$J20&lt;&gt;"",学校マスタ!$J20&gt;=G$3,学校マスタ!$J20&lt;G$3+7),AND(学校マスタ!$L20&lt;&gt;"",学校マスタ!$L20&gt;=G$3,学校マスタ!$L20&lt;G$3+7)),"◆",IF(AND(学校マスタ!$O20&lt;&gt;"",学校マスタ!$P20&lt;&gt;"",学校マスタ!$O20&lt;G$3+7,学校マスタ!$P20&gt;=G$3),"█",IF(AND(学校マスタ!$R20&lt;&gt;"",学校マスタ!$U20&lt;&gt;"",学校マスタ!$R20&lt;G$3+7,学校マスタ!$U20&gt;=G$3),"▒","")))))</f>
        <v/>
      </c>
      <c r="H22" s="26">
        <f>IF(学校マスタ!$A20="","",IF(AND(学校マスタ!$U20&lt;&gt;"",学校マスタ!$U20&gt;=H$3,学校マスタ!$U20&lt;H$3+7),"◎",IF(OR(AND(学校マスタ!$H20&lt;&gt;"",学校マスタ!$H20&gt;=H$3,学校マスタ!$H20&lt;H$3+7),AND(学校マスタ!$J20&lt;&gt;"",学校マスタ!$J20&gt;=H$3,学校マスタ!$J20&lt;H$3+7),AND(学校マスタ!$L20&lt;&gt;"",学校マスタ!$L20&gt;=H$3,学校マスタ!$L20&lt;H$3+7)),"◆",IF(AND(学校マスタ!$O20&lt;&gt;"",学校マスタ!$P20&lt;&gt;"",学校マスタ!$O20&lt;H$3+7,学校マスタ!$P20&gt;=H$3),"█",IF(AND(学校マスタ!$R20&lt;&gt;"",学校マスタ!$U20&lt;&gt;"",学校マスタ!$R20&lt;H$3+7,学校マスタ!$U20&gt;=H$3),"▒","")))))</f>
        <v/>
      </c>
      <c r="I22" s="26">
        <f>IF(学校マスタ!$A20="","",IF(AND(学校マスタ!$U20&lt;&gt;"",学校マスタ!$U20&gt;=I$3,学校マスタ!$U20&lt;I$3+7),"◎",IF(OR(AND(学校マスタ!$H20&lt;&gt;"",学校マスタ!$H20&gt;=I$3,学校マスタ!$H20&lt;I$3+7),AND(学校マスタ!$J20&lt;&gt;"",学校マスタ!$J20&gt;=I$3,学校マスタ!$J20&lt;I$3+7),AND(学校マスタ!$L20&lt;&gt;"",学校マスタ!$L20&gt;=I$3,学校マスタ!$L20&lt;I$3+7)),"◆",IF(AND(学校マスタ!$O20&lt;&gt;"",学校マスタ!$P20&lt;&gt;"",学校マスタ!$O20&lt;I$3+7,学校マスタ!$P20&gt;=I$3),"█",IF(AND(学校マスタ!$R20&lt;&gt;"",学校マスタ!$U20&lt;&gt;"",学校マスタ!$R20&lt;I$3+7,学校マスタ!$U20&gt;=I$3),"▒","")))))</f>
        <v/>
      </c>
      <c r="J22" s="26">
        <f>IF(学校マスタ!$A20="","",IF(AND(学校マスタ!$U20&lt;&gt;"",学校マスタ!$U20&gt;=J$3,学校マスタ!$U20&lt;J$3+7),"◎",IF(OR(AND(学校マスタ!$H20&lt;&gt;"",学校マスタ!$H20&gt;=J$3,学校マスタ!$H20&lt;J$3+7),AND(学校マスタ!$J20&lt;&gt;"",学校マスタ!$J20&gt;=J$3,学校マスタ!$J20&lt;J$3+7),AND(学校マスタ!$L20&lt;&gt;"",学校マスタ!$L20&gt;=J$3,学校マスタ!$L20&lt;J$3+7)),"◆",IF(AND(学校マスタ!$O20&lt;&gt;"",学校マスタ!$P20&lt;&gt;"",学校マスタ!$O20&lt;J$3+7,学校マスタ!$P20&gt;=J$3),"█",IF(AND(学校マスタ!$R20&lt;&gt;"",学校マスタ!$U20&lt;&gt;"",学校マスタ!$R20&lt;J$3+7,学校マスタ!$U20&gt;=J$3),"▒","")))))</f>
        <v/>
      </c>
      <c r="K22" s="26">
        <f>IF(学校マスタ!$A20="","",IF(AND(学校マスタ!$U20&lt;&gt;"",学校マスタ!$U20&gt;=K$3,学校マスタ!$U20&lt;K$3+7),"◎",IF(OR(AND(学校マスタ!$H20&lt;&gt;"",学校マスタ!$H20&gt;=K$3,学校マスタ!$H20&lt;K$3+7),AND(学校マスタ!$J20&lt;&gt;"",学校マスタ!$J20&gt;=K$3,学校マスタ!$J20&lt;K$3+7),AND(学校マスタ!$L20&lt;&gt;"",学校マスタ!$L20&gt;=K$3,学校マスタ!$L20&lt;K$3+7)),"◆",IF(AND(学校マスタ!$O20&lt;&gt;"",学校マスタ!$P20&lt;&gt;"",学校マスタ!$O20&lt;K$3+7,学校マスタ!$P20&gt;=K$3),"█",IF(AND(学校マスタ!$R20&lt;&gt;"",学校マスタ!$U20&lt;&gt;"",学校マスタ!$R20&lt;K$3+7,学校マスタ!$U20&gt;=K$3),"▒","")))))</f>
        <v/>
      </c>
      <c r="L22" s="26">
        <f>IF(学校マスタ!$A20="","",IF(AND(学校マスタ!$U20&lt;&gt;"",学校マスタ!$U20&gt;=L$3,学校マスタ!$U20&lt;L$3+7),"◎",IF(OR(AND(学校マスタ!$H20&lt;&gt;"",学校マスタ!$H20&gt;=L$3,学校マスタ!$H20&lt;L$3+7),AND(学校マスタ!$J20&lt;&gt;"",学校マスタ!$J20&gt;=L$3,学校マスタ!$J20&lt;L$3+7),AND(学校マスタ!$L20&lt;&gt;"",学校マスタ!$L20&gt;=L$3,学校マスタ!$L20&lt;L$3+7)),"◆",IF(AND(学校マスタ!$O20&lt;&gt;"",学校マスタ!$P20&lt;&gt;"",学校マスタ!$O20&lt;L$3+7,学校マスタ!$P20&gt;=L$3),"█",IF(AND(学校マスタ!$R20&lt;&gt;"",学校マスタ!$U20&lt;&gt;"",学校マスタ!$R20&lt;L$3+7,学校マスタ!$U20&gt;=L$3),"▒","")))))</f>
        <v/>
      </c>
      <c r="M22" s="26">
        <f>IF(学校マスタ!$A20="","",IF(AND(学校マスタ!$U20&lt;&gt;"",学校マスタ!$U20&gt;=M$3,学校マスタ!$U20&lt;M$3+7),"◎",IF(OR(AND(学校マスタ!$H20&lt;&gt;"",学校マスタ!$H20&gt;=M$3,学校マスタ!$H20&lt;M$3+7),AND(学校マスタ!$J20&lt;&gt;"",学校マスタ!$J20&gt;=M$3,学校マスタ!$J20&lt;M$3+7),AND(学校マスタ!$L20&lt;&gt;"",学校マスタ!$L20&gt;=M$3,学校マスタ!$L20&lt;M$3+7)),"◆",IF(AND(学校マスタ!$O20&lt;&gt;"",学校マスタ!$P20&lt;&gt;"",学校マスタ!$O20&lt;M$3+7,学校マスタ!$P20&gt;=M$3),"█",IF(AND(学校マスタ!$R20&lt;&gt;"",学校マスタ!$U20&lt;&gt;"",学校マスタ!$R20&lt;M$3+7,学校マスタ!$U20&gt;=M$3),"▒","")))))</f>
        <v/>
      </c>
      <c r="N22" s="26">
        <f>IF(学校マスタ!$A20="","",IF(AND(学校マスタ!$U20&lt;&gt;"",学校マスタ!$U20&gt;=N$3,学校マスタ!$U20&lt;N$3+7),"◎",IF(OR(AND(学校マスタ!$H20&lt;&gt;"",学校マスタ!$H20&gt;=N$3,学校マスタ!$H20&lt;N$3+7),AND(学校マスタ!$J20&lt;&gt;"",学校マスタ!$J20&gt;=N$3,学校マスタ!$J20&lt;N$3+7),AND(学校マスタ!$L20&lt;&gt;"",学校マスタ!$L20&gt;=N$3,学校マスタ!$L20&lt;N$3+7)),"◆",IF(AND(学校マスタ!$O20&lt;&gt;"",学校マスタ!$P20&lt;&gt;"",学校マスタ!$O20&lt;N$3+7,学校マスタ!$P20&gt;=N$3),"█",IF(AND(学校マスタ!$R20&lt;&gt;"",学校マスタ!$U20&lt;&gt;"",学校マスタ!$R20&lt;N$3+7,学校マスタ!$U20&gt;=N$3),"▒","")))))</f>
        <v/>
      </c>
      <c r="O22" s="26">
        <f>IF(学校マスタ!$A20="","",IF(AND(学校マスタ!$U20&lt;&gt;"",学校マスタ!$U20&gt;=O$3,学校マスタ!$U20&lt;O$3+7),"◎",IF(OR(AND(学校マスタ!$H20&lt;&gt;"",学校マスタ!$H20&gt;=O$3,学校マスタ!$H20&lt;O$3+7),AND(学校マスタ!$J20&lt;&gt;"",学校マスタ!$J20&gt;=O$3,学校マスタ!$J20&lt;O$3+7),AND(学校マスタ!$L20&lt;&gt;"",学校マスタ!$L20&gt;=O$3,学校マスタ!$L20&lt;O$3+7)),"◆",IF(AND(学校マスタ!$O20&lt;&gt;"",学校マスタ!$P20&lt;&gt;"",学校マスタ!$O20&lt;O$3+7,学校マスタ!$P20&gt;=O$3),"█",IF(AND(学校マスタ!$R20&lt;&gt;"",学校マスタ!$U20&lt;&gt;"",学校マスタ!$R20&lt;O$3+7,学校マスタ!$U20&gt;=O$3),"▒","")))))</f>
        <v/>
      </c>
      <c r="P22" s="26">
        <f>IF(学校マスタ!$A20="","",IF(AND(学校マスタ!$U20&lt;&gt;"",学校マスタ!$U20&gt;=P$3,学校マスタ!$U20&lt;P$3+7),"◎",IF(OR(AND(学校マスタ!$H20&lt;&gt;"",学校マスタ!$H20&gt;=P$3,学校マスタ!$H20&lt;P$3+7),AND(学校マスタ!$J20&lt;&gt;"",学校マスタ!$J20&gt;=P$3,学校マスタ!$J20&lt;P$3+7),AND(学校マスタ!$L20&lt;&gt;"",学校マスタ!$L20&gt;=P$3,学校マスタ!$L20&lt;P$3+7)),"◆",IF(AND(学校マスタ!$O20&lt;&gt;"",学校マスタ!$P20&lt;&gt;"",学校マスタ!$O20&lt;P$3+7,学校マスタ!$P20&gt;=P$3),"█",IF(AND(学校マスタ!$R20&lt;&gt;"",学校マスタ!$U20&lt;&gt;"",学校マスタ!$R20&lt;P$3+7,学校マスタ!$U20&gt;=P$3),"▒","")))))</f>
        <v/>
      </c>
      <c r="Q22" s="26">
        <f>IF(学校マスタ!$A20="","",IF(AND(学校マスタ!$U20&lt;&gt;"",学校マスタ!$U20&gt;=Q$3,学校マスタ!$U20&lt;Q$3+7),"◎",IF(OR(AND(学校マスタ!$H20&lt;&gt;"",学校マスタ!$H20&gt;=Q$3,学校マスタ!$H20&lt;Q$3+7),AND(学校マスタ!$J20&lt;&gt;"",学校マスタ!$J20&gt;=Q$3,学校マスタ!$J20&lt;Q$3+7),AND(学校マスタ!$L20&lt;&gt;"",学校マスタ!$L20&gt;=Q$3,学校マスタ!$L20&lt;Q$3+7)),"◆",IF(AND(学校マスタ!$O20&lt;&gt;"",学校マスタ!$P20&lt;&gt;"",学校マスタ!$O20&lt;Q$3+7,学校マスタ!$P20&gt;=Q$3),"█",IF(AND(学校マスタ!$R20&lt;&gt;"",学校マスタ!$U20&lt;&gt;"",学校マスタ!$R20&lt;Q$3+7,学校マスタ!$U20&gt;=Q$3),"▒","")))))</f>
        <v/>
      </c>
      <c r="R22" s="26">
        <f>IF(学校マスタ!$A20="","",IF(AND(学校マスタ!$U20&lt;&gt;"",学校マスタ!$U20&gt;=R$3,学校マスタ!$U20&lt;R$3+7),"◎",IF(OR(AND(学校マスタ!$H20&lt;&gt;"",学校マスタ!$H20&gt;=R$3,学校マスタ!$H20&lt;R$3+7),AND(学校マスタ!$J20&lt;&gt;"",学校マスタ!$J20&gt;=R$3,学校マスタ!$J20&lt;R$3+7),AND(学校マスタ!$L20&lt;&gt;"",学校マスタ!$L20&gt;=R$3,学校マスタ!$L20&lt;R$3+7)),"◆",IF(AND(学校マスタ!$O20&lt;&gt;"",学校マスタ!$P20&lt;&gt;"",学校マスタ!$O20&lt;R$3+7,学校マスタ!$P20&gt;=R$3),"█",IF(AND(学校マスタ!$R20&lt;&gt;"",学校マスタ!$U20&lt;&gt;"",学校マスタ!$R20&lt;R$3+7,学校マスタ!$U20&gt;=R$3),"▒","")))))</f>
        <v/>
      </c>
      <c r="S22" s="26">
        <f>IF(学校マスタ!$A20="","",IF(AND(学校マスタ!$U20&lt;&gt;"",学校マスタ!$U20&gt;=S$3,学校マスタ!$U20&lt;S$3+7),"◎",IF(OR(AND(学校マスタ!$H20&lt;&gt;"",学校マスタ!$H20&gt;=S$3,学校マスタ!$H20&lt;S$3+7),AND(学校マスタ!$J20&lt;&gt;"",学校マスタ!$J20&gt;=S$3,学校マスタ!$J20&lt;S$3+7),AND(学校マスタ!$L20&lt;&gt;"",学校マスタ!$L20&gt;=S$3,学校マスタ!$L20&lt;S$3+7)),"◆",IF(AND(学校マスタ!$O20&lt;&gt;"",学校マスタ!$P20&lt;&gt;"",学校マスタ!$O20&lt;S$3+7,学校マスタ!$P20&gt;=S$3),"█",IF(AND(学校マスタ!$R20&lt;&gt;"",学校マスタ!$U20&lt;&gt;"",学校マスタ!$R20&lt;S$3+7,学校マスタ!$U20&gt;=S$3),"▒","")))))</f>
        <v/>
      </c>
      <c r="T22" s="26">
        <f>IF(学校マスタ!$A20="","",IF(AND(学校マスタ!$U20&lt;&gt;"",学校マスタ!$U20&gt;=T$3,学校マスタ!$U20&lt;T$3+7),"◎",IF(OR(AND(学校マスタ!$H20&lt;&gt;"",学校マスタ!$H20&gt;=T$3,学校マスタ!$H20&lt;T$3+7),AND(学校マスタ!$J20&lt;&gt;"",学校マスタ!$J20&gt;=T$3,学校マスタ!$J20&lt;T$3+7),AND(学校マスタ!$L20&lt;&gt;"",学校マスタ!$L20&gt;=T$3,学校マスタ!$L20&lt;T$3+7)),"◆",IF(AND(学校マスタ!$O20&lt;&gt;"",学校マスタ!$P20&lt;&gt;"",学校マスタ!$O20&lt;T$3+7,学校マスタ!$P20&gt;=T$3),"█",IF(AND(学校マスタ!$R20&lt;&gt;"",学校マスタ!$U20&lt;&gt;"",学校マスタ!$R20&lt;T$3+7,学校マスタ!$U20&gt;=T$3),"▒","")))))</f>
        <v/>
      </c>
      <c r="U22" s="26">
        <f>IF(学校マスタ!$A20="","",IF(AND(学校マスタ!$U20&lt;&gt;"",学校マスタ!$U20&gt;=U$3,学校マスタ!$U20&lt;U$3+7),"◎",IF(OR(AND(学校マスタ!$H20&lt;&gt;"",学校マスタ!$H20&gt;=U$3,学校マスタ!$H20&lt;U$3+7),AND(学校マスタ!$J20&lt;&gt;"",学校マスタ!$J20&gt;=U$3,学校マスタ!$J20&lt;U$3+7),AND(学校マスタ!$L20&lt;&gt;"",学校マスタ!$L20&gt;=U$3,学校マスタ!$L20&lt;U$3+7)),"◆",IF(AND(学校マスタ!$O20&lt;&gt;"",学校マスタ!$P20&lt;&gt;"",学校マスタ!$O20&lt;U$3+7,学校マスタ!$P20&gt;=U$3),"█",IF(AND(学校マスタ!$R20&lt;&gt;"",学校マスタ!$U20&lt;&gt;"",学校マスタ!$R20&lt;U$3+7,学校マスタ!$U20&gt;=U$3),"▒","")))))</f>
        <v/>
      </c>
      <c r="V22" s="26">
        <f>IF(学校マスタ!$A20="","",IF(AND(学校マスタ!$U20&lt;&gt;"",学校マスタ!$U20&gt;=V$3,学校マスタ!$U20&lt;V$3+7),"◎",IF(OR(AND(学校マスタ!$H20&lt;&gt;"",学校マスタ!$H20&gt;=V$3,学校マスタ!$H20&lt;V$3+7),AND(学校マスタ!$J20&lt;&gt;"",学校マスタ!$J20&gt;=V$3,学校マスタ!$J20&lt;V$3+7),AND(学校マスタ!$L20&lt;&gt;"",学校マスタ!$L20&gt;=V$3,学校マスタ!$L20&lt;V$3+7)),"◆",IF(AND(学校マスタ!$O20&lt;&gt;"",学校マスタ!$P20&lt;&gt;"",学校マスタ!$O20&lt;V$3+7,学校マスタ!$P20&gt;=V$3),"█",IF(AND(学校マスタ!$R20&lt;&gt;"",学校マスタ!$U20&lt;&gt;"",学校マスタ!$R20&lt;V$3+7,学校マスタ!$U20&gt;=V$3),"▒","")))))</f>
        <v/>
      </c>
      <c r="W22" s="26">
        <f>IF(学校マスタ!$A20="","",IF(AND(学校マスタ!$U20&lt;&gt;"",学校マスタ!$U20&gt;=W$3,学校マスタ!$U20&lt;W$3+7),"◎",IF(OR(AND(学校マスタ!$H20&lt;&gt;"",学校マスタ!$H20&gt;=W$3,学校マスタ!$H20&lt;W$3+7),AND(学校マスタ!$J20&lt;&gt;"",学校マスタ!$J20&gt;=W$3,学校マスタ!$J20&lt;W$3+7),AND(学校マスタ!$L20&lt;&gt;"",学校マスタ!$L20&gt;=W$3,学校マスタ!$L20&lt;W$3+7)),"◆",IF(AND(学校マスタ!$O20&lt;&gt;"",学校マスタ!$P20&lt;&gt;"",学校マスタ!$O20&lt;W$3+7,学校マスタ!$P20&gt;=W$3),"█",IF(AND(学校マスタ!$R20&lt;&gt;"",学校マスタ!$U20&lt;&gt;"",学校マスタ!$R20&lt;W$3+7,学校マスタ!$U20&gt;=W$3),"▒","")))))</f>
        <v/>
      </c>
      <c r="X22" s="26">
        <f>IF(学校マスタ!$A20="","",IF(AND(学校マスタ!$U20&lt;&gt;"",学校マスタ!$U20&gt;=X$3,学校マスタ!$U20&lt;X$3+7),"◎",IF(OR(AND(学校マスタ!$H20&lt;&gt;"",学校マスタ!$H20&gt;=X$3,学校マスタ!$H20&lt;X$3+7),AND(学校マスタ!$J20&lt;&gt;"",学校マスタ!$J20&gt;=X$3,学校マスタ!$J20&lt;X$3+7),AND(学校マスタ!$L20&lt;&gt;"",学校マスタ!$L20&gt;=X$3,学校マスタ!$L20&lt;X$3+7)),"◆",IF(AND(学校マスタ!$O20&lt;&gt;"",学校マスタ!$P20&lt;&gt;"",学校マスタ!$O20&lt;X$3+7,学校マスタ!$P20&gt;=X$3),"█",IF(AND(学校マスタ!$R20&lt;&gt;"",学校マスタ!$U20&lt;&gt;"",学校マスタ!$R20&lt;X$3+7,学校マスタ!$U20&gt;=X$3),"▒","")))))</f>
        <v/>
      </c>
      <c r="Y22" s="26">
        <f>IF(学校マスタ!$A20="","",IF(AND(学校マスタ!$U20&lt;&gt;"",学校マスタ!$U20&gt;=Y$3,学校マスタ!$U20&lt;Y$3+7),"◎",IF(OR(AND(学校マスタ!$H20&lt;&gt;"",学校マスタ!$H20&gt;=Y$3,学校マスタ!$H20&lt;Y$3+7),AND(学校マスタ!$J20&lt;&gt;"",学校マスタ!$J20&gt;=Y$3,学校マスタ!$J20&lt;Y$3+7),AND(学校マスタ!$L20&lt;&gt;"",学校マスタ!$L20&gt;=Y$3,学校マスタ!$L20&lt;Y$3+7)),"◆",IF(AND(学校マスタ!$O20&lt;&gt;"",学校マスタ!$P20&lt;&gt;"",学校マスタ!$O20&lt;Y$3+7,学校マスタ!$P20&gt;=Y$3),"█",IF(AND(学校マスタ!$R20&lt;&gt;"",学校マスタ!$U20&lt;&gt;"",学校マスタ!$R20&lt;Y$3+7,学校マスタ!$U20&gt;=Y$3),"▒","")))))</f>
        <v/>
      </c>
      <c r="Z22" s="26">
        <f>IF(学校マスタ!$A20="","",IF(AND(学校マスタ!$U20&lt;&gt;"",学校マスタ!$U20&gt;=Z$3,学校マスタ!$U20&lt;Z$3+7),"◎",IF(OR(AND(学校マスタ!$H20&lt;&gt;"",学校マスタ!$H20&gt;=Z$3,学校マスタ!$H20&lt;Z$3+7),AND(学校マスタ!$J20&lt;&gt;"",学校マスタ!$J20&gt;=Z$3,学校マスタ!$J20&lt;Z$3+7),AND(学校マスタ!$L20&lt;&gt;"",学校マスタ!$L20&gt;=Z$3,学校マスタ!$L20&lt;Z$3+7)),"◆",IF(AND(学校マスタ!$O20&lt;&gt;"",学校マスタ!$P20&lt;&gt;"",学校マスタ!$O20&lt;Z$3+7,学校マスタ!$P20&gt;=Z$3),"█",IF(AND(学校マスタ!$R20&lt;&gt;"",学校マスタ!$U20&lt;&gt;"",学校マスタ!$R20&lt;Z$3+7,学校マスタ!$U20&gt;=Z$3),"▒","")))))</f>
        <v/>
      </c>
      <c r="AA22" s="26">
        <f>IF(学校マスタ!$A20="","",IF(AND(学校マスタ!$U20&lt;&gt;"",学校マスタ!$U20&gt;=AA$3,学校マスタ!$U20&lt;AA$3+7),"◎",IF(OR(AND(学校マスタ!$H20&lt;&gt;"",学校マスタ!$H20&gt;=AA$3,学校マスタ!$H20&lt;AA$3+7),AND(学校マスタ!$J20&lt;&gt;"",学校マスタ!$J20&gt;=AA$3,学校マスタ!$J20&lt;AA$3+7),AND(学校マスタ!$L20&lt;&gt;"",学校マスタ!$L20&gt;=AA$3,学校マスタ!$L20&lt;AA$3+7)),"◆",IF(AND(学校マスタ!$O20&lt;&gt;"",学校マスタ!$P20&lt;&gt;"",学校マスタ!$O20&lt;AA$3+7,学校マスタ!$P20&gt;=AA$3),"█",IF(AND(学校マスタ!$R20&lt;&gt;"",学校マスタ!$U20&lt;&gt;"",学校マスタ!$R20&lt;AA$3+7,学校マスタ!$U20&gt;=AA$3),"▒","")))))</f>
        <v/>
      </c>
      <c r="AB22" s="26">
        <f>IF(学校マスタ!$A20="","",IF(AND(学校マスタ!$U20&lt;&gt;"",学校マスタ!$U20&gt;=AB$3,学校マスタ!$U20&lt;AB$3+7),"◎",IF(OR(AND(学校マスタ!$H20&lt;&gt;"",学校マスタ!$H20&gt;=AB$3,学校マスタ!$H20&lt;AB$3+7),AND(学校マスタ!$J20&lt;&gt;"",学校マスタ!$J20&gt;=AB$3,学校マスタ!$J20&lt;AB$3+7),AND(学校マスタ!$L20&lt;&gt;"",学校マスタ!$L20&gt;=AB$3,学校マスタ!$L20&lt;AB$3+7)),"◆",IF(AND(学校マスタ!$O20&lt;&gt;"",学校マスタ!$P20&lt;&gt;"",学校マスタ!$O20&lt;AB$3+7,学校マスタ!$P20&gt;=AB$3),"█",IF(AND(学校マスタ!$R20&lt;&gt;"",学校マスタ!$U20&lt;&gt;"",学校マスタ!$R20&lt;AB$3+7,学校マスタ!$U20&gt;=AB$3),"▒","")))))</f>
        <v/>
      </c>
    </row>
    <row r="23">
      <c r="A23" s="19">
        <f>IF(学校マスタ!$A21="","",学校マスタ!$A21)</f>
        <v/>
      </c>
      <c r="B23" s="19">
        <f>IF(学校マスタ!$A21="","",学校マスタ!$C21)</f>
        <v/>
      </c>
      <c r="C23" s="19">
        <f>IF(学校マスタ!$A21="","",学校マスタ!$X21)</f>
        <v/>
      </c>
      <c r="D23" s="25">
        <f>IF(学校マスタ!$A21="","",学校マスタ!$R21)</f>
        <v/>
      </c>
      <c r="E23" s="26">
        <f>IF(学校マスタ!$A21="","",IF(AND(学校マスタ!$U21&lt;&gt;"",学校マスタ!$U21&gt;=E$3,学校マスタ!$U21&lt;E$3+7),"◎",IF(OR(AND(学校マスタ!$H21&lt;&gt;"",学校マスタ!$H21&gt;=E$3,学校マスタ!$H21&lt;E$3+7),AND(学校マスタ!$J21&lt;&gt;"",学校マスタ!$J21&gt;=E$3,学校マスタ!$J21&lt;E$3+7),AND(学校マスタ!$L21&lt;&gt;"",学校マスタ!$L21&gt;=E$3,学校マスタ!$L21&lt;E$3+7)),"◆",IF(AND(学校マスタ!$O21&lt;&gt;"",学校マスタ!$P21&lt;&gt;"",学校マスタ!$O21&lt;E$3+7,学校マスタ!$P21&gt;=E$3),"█",IF(AND(学校マスタ!$R21&lt;&gt;"",学校マスタ!$U21&lt;&gt;"",学校マスタ!$R21&lt;E$3+7,学校マスタ!$U21&gt;=E$3),"▒","")))))</f>
        <v/>
      </c>
      <c r="F23" s="26">
        <f>IF(学校マスタ!$A21="","",IF(AND(学校マスタ!$U21&lt;&gt;"",学校マスタ!$U21&gt;=F$3,学校マスタ!$U21&lt;F$3+7),"◎",IF(OR(AND(学校マスタ!$H21&lt;&gt;"",学校マスタ!$H21&gt;=F$3,学校マスタ!$H21&lt;F$3+7),AND(学校マスタ!$J21&lt;&gt;"",学校マスタ!$J21&gt;=F$3,学校マスタ!$J21&lt;F$3+7),AND(学校マスタ!$L21&lt;&gt;"",学校マスタ!$L21&gt;=F$3,学校マスタ!$L21&lt;F$3+7)),"◆",IF(AND(学校マスタ!$O21&lt;&gt;"",学校マスタ!$P21&lt;&gt;"",学校マスタ!$O21&lt;F$3+7,学校マスタ!$P21&gt;=F$3),"█",IF(AND(学校マスタ!$R21&lt;&gt;"",学校マスタ!$U21&lt;&gt;"",学校マスタ!$R21&lt;F$3+7,学校マスタ!$U21&gt;=F$3),"▒","")))))</f>
        <v/>
      </c>
      <c r="G23" s="26">
        <f>IF(学校マスタ!$A21="","",IF(AND(学校マスタ!$U21&lt;&gt;"",学校マスタ!$U21&gt;=G$3,学校マスタ!$U21&lt;G$3+7),"◎",IF(OR(AND(学校マスタ!$H21&lt;&gt;"",学校マスタ!$H21&gt;=G$3,学校マスタ!$H21&lt;G$3+7),AND(学校マスタ!$J21&lt;&gt;"",学校マスタ!$J21&gt;=G$3,学校マスタ!$J21&lt;G$3+7),AND(学校マスタ!$L21&lt;&gt;"",学校マスタ!$L21&gt;=G$3,学校マスタ!$L21&lt;G$3+7)),"◆",IF(AND(学校マスタ!$O21&lt;&gt;"",学校マスタ!$P21&lt;&gt;"",学校マスタ!$O21&lt;G$3+7,学校マスタ!$P21&gt;=G$3),"█",IF(AND(学校マスタ!$R21&lt;&gt;"",学校マスタ!$U21&lt;&gt;"",学校マスタ!$R21&lt;G$3+7,学校マスタ!$U21&gt;=G$3),"▒","")))))</f>
        <v/>
      </c>
      <c r="H23" s="26">
        <f>IF(学校マスタ!$A21="","",IF(AND(学校マスタ!$U21&lt;&gt;"",学校マスタ!$U21&gt;=H$3,学校マスタ!$U21&lt;H$3+7),"◎",IF(OR(AND(学校マスタ!$H21&lt;&gt;"",学校マスタ!$H21&gt;=H$3,学校マスタ!$H21&lt;H$3+7),AND(学校マスタ!$J21&lt;&gt;"",学校マスタ!$J21&gt;=H$3,学校マスタ!$J21&lt;H$3+7),AND(学校マスタ!$L21&lt;&gt;"",学校マスタ!$L21&gt;=H$3,学校マスタ!$L21&lt;H$3+7)),"◆",IF(AND(学校マスタ!$O21&lt;&gt;"",学校マスタ!$P21&lt;&gt;"",学校マスタ!$O21&lt;H$3+7,学校マスタ!$P21&gt;=H$3),"█",IF(AND(学校マスタ!$R21&lt;&gt;"",学校マスタ!$U21&lt;&gt;"",学校マスタ!$R21&lt;H$3+7,学校マスタ!$U21&gt;=H$3),"▒","")))))</f>
        <v/>
      </c>
      <c r="I23" s="26">
        <f>IF(学校マスタ!$A21="","",IF(AND(学校マスタ!$U21&lt;&gt;"",学校マスタ!$U21&gt;=I$3,学校マスタ!$U21&lt;I$3+7),"◎",IF(OR(AND(学校マスタ!$H21&lt;&gt;"",学校マスタ!$H21&gt;=I$3,学校マスタ!$H21&lt;I$3+7),AND(学校マスタ!$J21&lt;&gt;"",学校マスタ!$J21&gt;=I$3,学校マスタ!$J21&lt;I$3+7),AND(学校マスタ!$L21&lt;&gt;"",学校マスタ!$L21&gt;=I$3,学校マスタ!$L21&lt;I$3+7)),"◆",IF(AND(学校マスタ!$O21&lt;&gt;"",学校マスタ!$P21&lt;&gt;"",学校マスタ!$O21&lt;I$3+7,学校マスタ!$P21&gt;=I$3),"█",IF(AND(学校マスタ!$R21&lt;&gt;"",学校マスタ!$U21&lt;&gt;"",学校マスタ!$R21&lt;I$3+7,学校マスタ!$U21&gt;=I$3),"▒","")))))</f>
        <v/>
      </c>
      <c r="J23" s="26">
        <f>IF(学校マスタ!$A21="","",IF(AND(学校マスタ!$U21&lt;&gt;"",学校マスタ!$U21&gt;=J$3,学校マスタ!$U21&lt;J$3+7),"◎",IF(OR(AND(学校マスタ!$H21&lt;&gt;"",学校マスタ!$H21&gt;=J$3,学校マスタ!$H21&lt;J$3+7),AND(学校マスタ!$J21&lt;&gt;"",学校マスタ!$J21&gt;=J$3,学校マスタ!$J21&lt;J$3+7),AND(学校マスタ!$L21&lt;&gt;"",学校マスタ!$L21&gt;=J$3,学校マスタ!$L21&lt;J$3+7)),"◆",IF(AND(学校マスタ!$O21&lt;&gt;"",学校マスタ!$P21&lt;&gt;"",学校マスタ!$O21&lt;J$3+7,学校マスタ!$P21&gt;=J$3),"█",IF(AND(学校マスタ!$R21&lt;&gt;"",学校マスタ!$U21&lt;&gt;"",学校マスタ!$R21&lt;J$3+7,学校マスタ!$U21&gt;=J$3),"▒","")))))</f>
        <v/>
      </c>
      <c r="K23" s="26">
        <f>IF(学校マスタ!$A21="","",IF(AND(学校マスタ!$U21&lt;&gt;"",学校マスタ!$U21&gt;=K$3,学校マスタ!$U21&lt;K$3+7),"◎",IF(OR(AND(学校マスタ!$H21&lt;&gt;"",学校マスタ!$H21&gt;=K$3,学校マスタ!$H21&lt;K$3+7),AND(学校マスタ!$J21&lt;&gt;"",学校マスタ!$J21&gt;=K$3,学校マスタ!$J21&lt;K$3+7),AND(学校マスタ!$L21&lt;&gt;"",学校マスタ!$L21&gt;=K$3,学校マスタ!$L21&lt;K$3+7)),"◆",IF(AND(学校マスタ!$O21&lt;&gt;"",学校マスタ!$P21&lt;&gt;"",学校マスタ!$O21&lt;K$3+7,学校マスタ!$P21&gt;=K$3),"█",IF(AND(学校マスタ!$R21&lt;&gt;"",学校マスタ!$U21&lt;&gt;"",学校マスタ!$R21&lt;K$3+7,学校マスタ!$U21&gt;=K$3),"▒","")))))</f>
        <v/>
      </c>
      <c r="L23" s="26">
        <f>IF(学校マスタ!$A21="","",IF(AND(学校マスタ!$U21&lt;&gt;"",学校マスタ!$U21&gt;=L$3,学校マスタ!$U21&lt;L$3+7),"◎",IF(OR(AND(学校マスタ!$H21&lt;&gt;"",学校マスタ!$H21&gt;=L$3,学校マスタ!$H21&lt;L$3+7),AND(学校マスタ!$J21&lt;&gt;"",学校マスタ!$J21&gt;=L$3,学校マスタ!$J21&lt;L$3+7),AND(学校マスタ!$L21&lt;&gt;"",学校マスタ!$L21&gt;=L$3,学校マスタ!$L21&lt;L$3+7)),"◆",IF(AND(学校マスタ!$O21&lt;&gt;"",学校マスタ!$P21&lt;&gt;"",学校マスタ!$O21&lt;L$3+7,学校マスタ!$P21&gt;=L$3),"█",IF(AND(学校マスタ!$R21&lt;&gt;"",学校マスタ!$U21&lt;&gt;"",学校マスタ!$R21&lt;L$3+7,学校マスタ!$U21&gt;=L$3),"▒","")))))</f>
        <v/>
      </c>
      <c r="M23" s="26">
        <f>IF(学校マスタ!$A21="","",IF(AND(学校マスタ!$U21&lt;&gt;"",学校マスタ!$U21&gt;=M$3,学校マスタ!$U21&lt;M$3+7),"◎",IF(OR(AND(学校マスタ!$H21&lt;&gt;"",学校マスタ!$H21&gt;=M$3,学校マスタ!$H21&lt;M$3+7),AND(学校マスタ!$J21&lt;&gt;"",学校マスタ!$J21&gt;=M$3,学校マスタ!$J21&lt;M$3+7),AND(学校マスタ!$L21&lt;&gt;"",学校マスタ!$L21&gt;=M$3,学校マスタ!$L21&lt;M$3+7)),"◆",IF(AND(学校マスタ!$O21&lt;&gt;"",学校マスタ!$P21&lt;&gt;"",学校マスタ!$O21&lt;M$3+7,学校マスタ!$P21&gt;=M$3),"█",IF(AND(学校マスタ!$R21&lt;&gt;"",学校マスタ!$U21&lt;&gt;"",学校マスタ!$R21&lt;M$3+7,学校マスタ!$U21&gt;=M$3),"▒","")))))</f>
        <v/>
      </c>
      <c r="N23" s="26">
        <f>IF(学校マスタ!$A21="","",IF(AND(学校マスタ!$U21&lt;&gt;"",学校マスタ!$U21&gt;=N$3,学校マスタ!$U21&lt;N$3+7),"◎",IF(OR(AND(学校マスタ!$H21&lt;&gt;"",学校マスタ!$H21&gt;=N$3,学校マスタ!$H21&lt;N$3+7),AND(学校マスタ!$J21&lt;&gt;"",学校マスタ!$J21&gt;=N$3,学校マスタ!$J21&lt;N$3+7),AND(学校マスタ!$L21&lt;&gt;"",学校マスタ!$L21&gt;=N$3,学校マスタ!$L21&lt;N$3+7)),"◆",IF(AND(学校マスタ!$O21&lt;&gt;"",学校マスタ!$P21&lt;&gt;"",学校マスタ!$O21&lt;N$3+7,学校マスタ!$P21&gt;=N$3),"█",IF(AND(学校マスタ!$R21&lt;&gt;"",学校マスタ!$U21&lt;&gt;"",学校マスタ!$R21&lt;N$3+7,学校マスタ!$U21&gt;=N$3),"▒","")))))</f>
        <v/>
      </c>
      <c r="O23" s="26">
        <f>IF(学校マスタ!$A21="","",IF(AND(学校マスタ!$U21&lt;&gt;"",学校マスタ!$U21&gt;=O$3,学校マスタ!$U21&lt;O$3+7),"◎",IF(OR(AND(学校マスタ!$H21&lt;&gt;"",学校マスタ!$H21&gt;=O$3,学校マスタ!$H21&lt;O$3+7),AND(学校マスタ!$J21&lt;&gt;"",学校マスタ!$J21&gt;=O$3,学校マスタ!$J21&lt;O$3+7),AND(学校マスタ!$L21&lt;&gt;"",学校マスタ!$L21&gt;=O$3,学校マスタ!$L21&lt;O$3+7)),"◆",IF(AND(学校マスタ!$O21&lt;&gt;"",学校マスタ!$P21&lt;&gt;"",学校マスタ!$O21&lt;O$3+7,学校マスタ!$P21&gt;=O$3),"█",IF(AND(学校マスタ!$R21&lt;&gt;"",学校マスタ!$U21&lt;&gt;"",学校マスタ!$R21&lt;O$3+7,学校マスタ!$U21&gt;=O$3),"▒","")))))</f>
        <v/>
      </c>
      <c r="P23" s="26">
        <f>IF(学校マスタ!$A21="","",IF(AND(学校マスタ!$U21&lt;&gt;"",学校マスタ!$U21&gt;=P$3,学校マスタ!$U21&lt;P$3+7),"◎",IF(OR(AND(学校マスタ!$H21&lt;&gt;"",学校マスタ!$H21&gt;=P$3,学校マスタ!$H21&lt;P$3+7),AND(学校マスタ!$J21&lt;&gt;"",学校マスタ!$J21&gt;=P$3,学校マスタ!$J21&lt;P$3+7),AND(学校マスタ!$L21&lt;&gt;"",学校マスタ!$L21&gt;=P$3,学校マスタ!$L21&lt;P$3+7)),"◆",IF(AND(学校マスタ!$O21&lt;&gt;"",学校マスタ!$P21&lt;&gt;"",学校マスタ!$O21&lt;P$3+7,学校マスタ!$P21&gt;=P$3),"█",IF(AND(学校マスタ!$R21&lt;&gt;"",学校マスタ!$U21&lt;&gt;"",学校マスタ!$R21&lt;P$3+7,学校マスタ!$U21&gt;=P$3),"▒","")))))</f>
        <v/>
      </c>
      <c r="Q23" s="26">
        <f>IF(学校マスタ!$A21="","",IF(AND(学校マスタ!$U21&lt;&gt;"",学校マスタ!$U21&gt;=Q$3,学校マスタ!$U21&lt;Q$3+7),"◎",IF(OR(AND(学校マスタ!$H21&lt;&gt;"",学校マスタ!$H21&gt;=Q$3,学校マスタ!$H21&lt;Q$3+7),AND(学校マスタ!$J21&lt;&gt;"",学校マスタ!$J21&gt;=Q$3,学校マスタ!$J21&lt;Q$3+7),AND(学校マスタ!$L21&lt;&gt;"",学校マスタ!$L21&gt;=Q$3,学校マスタ!$L21&lt;Q$3+7)),"◆",IF(AND(学校マスタ!$O21&lt;&gt;"",学校マスタ!$P21&lt;&gt;"",学校マスタ!$O21&lt;Q$3+7,学校マスタ!$P21&gt;=Q$3),"█",IF(AND(学校マスタ!$R21&lt;&gt;"",学校マスタ!$U21&lt;&gt;"",学校マスタ!$R21&lt;Q$3+7,学校マスタ!$U21&gt;=Q$3),"▒","")))))</f>
        <v/>
      </c>
      <c r="R23" s="26">
        <f>IF(学校マスタ!$A21="","",IF(AND(学校マスタ!$U21&lt;&gt;"",学校マスタ!$U21&gt;=R$3,学校マスタ!$U21&lt;R$3+7),"◎",IF(OR(AND(学校マスタ!$H21&lt;&gt;"",学校マスタ!$H21&gt;=R$3,学校マスタ!$H21&lt;R$3+7),AND(学校マスタ!$J21&lt;&gt;"",学校マスタ!$J21&gt;=R$3,学校マスタ!$J21&lt;R$3+7),AND(学校マスタ!$L21&lt;&gt;"",学校マスタ!$L21&gt;=R$3,学校マスタ!$L21&lt;R$3+7)),"◆",IF(AND(学校マスタ!$O21&lt;&gt;"",学校マスタ!$P21&lt;&gt;"",学校マスタ!$O21&lt;R$3+7,学校マスタ!$P21&gt;=R$3),"█",IF(AND(学校マスタ!$R21&lt;&gt;"",学校マスタ!$U21&lt;&gt;"",学校マスタ!$R21&lt;R$3+7,学校マスタ!$U21&gt;=R$3),"▒","")))))</f>
        <v/>
      </c>
      <c r="S23" s="26">
        <f>IF(学校マスタ!$A21="","",IF(AND(学校マスタ!$U21&lt;&gt;"",学校マスタ!$U21&gt;=S$3,学校マスタ!$U21&lt;S$3+7),"◎",IF(OR(AND(学校マスタ!$H21&lt;&gt;"",学校マスタ!$H21&gt;=S$3,学校マスタ!$H21&lt;S$3+7),AND(学校マスタ!$J21&lt;&gt;"",学校マスタ!$J21&gt;=S$3,学校マスタ!$J21&lt;S$3+7),AND(学校マスタ!$L21&lt;&gt;"",学校マスタ!$L21&gt;=S$3,学校マスタ!$L21&lt;S$3+7)),"◆",IF(AND(学校マスタ!$O21&lt;&gt;"",学校マスタ!$P21&lt;&gt;"",学校マスタ!$O21&lt;S$3+7,学校マスタ!$P21&gt;=S$3),"█",IF(AND(学校マスタ!$R21&lt;&gt;"",学校マスタ!$U21&lt;&gt;"",学校マスタ!$R21&lt;S$3+7,学校マスタ!$U21&gt;=S$3),"▒","")))))</f>
        <v/>
      </c>
      <c r="T23" s="26">
        <f>IF(学校マスタ!$A21="","",IF(AND(学校マスタ!$U21&lt;&gt;"",学校マスタ!$U21&gt;=T$3,学校マスタ!$U21&lt;T$3+7),"◎",IF(OR(AND(学校マスタ!$H21&lt;&gt;"",学校マスタ!$H21&gt;=T$3,学校マスタ!$H21&lt;T$3+7),AND(学校マスタ!$J21&lt;&gt;"",学校マスタ!$J21&gt;=T$3,学校マスタ!$J21&lt;T$3+7),AND(学校マスタ!$L21&lt;&gt;"",学校マスタ!$L21&gt;=T$3,学校マスタ!$L21&lt;T$3+7)),"◆",IF(AND(学校マスタ!$O21&lt;&gt;"",学校マスタ!$P21&lt;&gt;"",学校マスタ!$O21&lt;T$3+7,学校マスタ!$P21&gt;=T$3),"█",IF(AND(学校マスタ!$R21&lt;&gt;"",学校マスタ!$U21&lt;&gt;"",学校マスタ!$R21&lt;T$3+7,学校マスタ!$U21&gt;=T$3),"▒","")))))</f>
        <v/>
      </c>
      <c r="U23" s="26">
        <f>IF(学校マスタ!$A21="","",IF(AND(学校マスタ!$U21&lt;&gt;"",学校マスタ!$U21&gt;=U$3,学校マスタ!$U21&lt;U$3+7),"◎",IF(OR(AND(学校マスタ!$H21&lt;&gt;"",学校マスタ!$H21&gt;=U$3,学校マスタ!$H21&lt;U$3+7),AND(学校マスタ!$J21&lt;&gt;"",学校マスタ!$J21&gt;=U$3,学校マスタ!$J21&lt;U$3+7),AND(学校マスタ!$L21&lt;&gt;"",学校マスタ!$L21&gt;=U$3,学校マスタ!$L21&lt;U$3+7)),"◆",IF(AND(学校マスタ!$O21&lt;&gt;"",学校マスタ!$P21&lt;&gt;"",学校マスタ!$O21&lt;U$3+7,学校マスタ!$P21&gt;=U$3),"█",IF(AND(学校マスタ!$R21&lt;&gt;"",学校マスタ!$U21&lt;&gt;"",学校マスタ!$R21&lt;U$3+7,学校マスタ!$U21&gt;=U$3),"▒","")))))</f>
        <v/>
      </c>
      <c r="V23" s="26">
        <f>IF(学校マスタ!$A21="","",IF(AND(学校マスタ!$U21&lt;&gt;"",学校マスタ!$U21&gt;=V$3,学校マスタ!$U21&lt;V$3+7),"◎",IF(OR(AND(学校マスタ!$H21&lt;&gt;"",学校マスタ!$H21&gt;=V$3,学校マスタ!$H21&lt;V$3+7),AND(学校マスタ!$J21&lt;&gt;"",学校マスタ!$J21&gt;=V$3,学校マスタ!$J21&lt;V$3+7),AND(学校マスタ!$L21&lt;&gt;"",学校マスタ!$L21&gt;=V$3,学校マスタ!$L21&lt;V$3+7)),"◆",IF(AND(学校マスタ!$O21&lt;&gt;"",学校マスタ!$P21&lt;&gt;"",学校マスタ!$O21&lt;V$3+7,学校マスタ!$P21&gt;=V$3),"█",IF(AND(学校マスタ!$R21&lt;&gt;"",学校マスタ!$U21&lt;&gt;"",学校マスタ!$R21&lt;V$3+7,学校マスタ!$U21&gt;=V$3),"▒","")))))</f>
        <v/>
      </c>
      <c r="W23" s="26">
        <f>IF(学校マスタ!$A21="","",IF(AND(学校マスタ!$U21&lt;&gt;"",学校マスタ!$U21&gt;=W$3,学校マスタ!$U21&lt;W$3+7),"◎",IF(OR(AND(学校マスタ!$H21&lt;&gt;"",学校マスタ!$H21&gt;=W$3,学校マスタ!$H21&lt;W$3+7),AND(学校マスタ!$J21&lt;&gt;"",学校マスタ!$J21&gt;=W$3,学校マスタ!$J21&lt;W$3+7),AND(学校マスタ!$L21&lt;&gt;"",学校マスタ!$L21&gt;=W$3,学校マスタ!$L21&lt;W$3+7)),"◆",IF(AND(学校マスタ!$O21&lt;&gt;"",学校マスタ!$P21&lt;&gt;"",学校マスタ!$O21&lt;W$3+7,学校マスタ!$P21&gt;=W$3),"█",IF(AND(学校マスタ!$R21&lt;&gt;"",学校マスタ!$U21&lt;&gt;"",学校マスタ!$R21&lt;W$3+7,学校マスタ!$U21&gt;=W$3),"▒","")))))</f>
        <v/>
      </c>
      <c r="X23" s="26">
        <f>IF(学校マスタ!$A21="","",IF(AND(学校マスタ!$U21&lt;&gt;"",学校マスタ!$U21&gt;=X$3,学校マスタ!$U21&lt;X$3+7),"◎",IF(OR(AND(学校マスタ!$H21&lt;&gt;"",学校マスタ!$H21&gt;=X$3,学校マスタ!$H21&lt;X$3+7),AND(学校マスタ!$J21&lt;&gt;"",学校マスタ!$J21&gt;=X$3,学校マスタ!$J21&lt;X$3+7),AND(学校マスタ!$L21&lt;&gt;"",学校マスタ!$L21&gt;=X$3,学校マスタ!$L21&lt;X$3+7)),"◆",IF(AND(学校マスタ!$O21&lt;&gt;"",学校マスタ!$P21&lt;&gt;"",学校マスタ!$O21&lt;X$3+7,学校マスタ!$P21&gt;=X$3),"█",IF(AND(学校マスタ!$R21&lt;&gt;"",学校マスタ!$U21&lt;&gt;"",学校マスタ!$R21&lt;X$3+7,学校マスタ!$U21&gt;=X$3),"▒","")))))</f>
        <v/>
      </c>
      <c r="Y23" s="26">
        <f>IF(学校マスタ!$A21="","",IF(AND(学校マスタ!$U21&lt;&gt;"",学校マスタ!$U21&gt;=Y$3,学校マスタ!$U21&lt;Y$3+7),"◎",IF(OR(AND(学校マスタ!$H21&lt;&gt;"",学校マスタ!$H21&gt;=Y$3,学校マスタ!$H21&lt;Y$3+7),AND(学校マスタ!$J21&lt;&gt;"",学校マスタ!$J21&gt;=Y$3,学校マスタ!$J21&lt;Y$3+7),AND(学校マスタ!$L21&lt;&gt;"",学校マスタ!$L21&gt;=Y$3,学校マスタ!$L21&lt;Y$3+7)),"◆",IF(AND(学校マスタ!$O21&lt;&gt;"",学校マスタ!$P21&lt;&gt;"",学校マスタ!$O21&lt;Y$3+7,学校マスタ!$P21&gt;=Y$3),"█",IF(AND(学校マスタ!$R21&lt;&gt;"",学校マスタ!$U21&lt;&gt;"",学校マスタ!$R21&lt;Y$3+7,学校マスタ!$U21&gt;=Y$3),"▒","")))))</f>
        <v/>
      </c>
      <c r="Z23" s="26">
        <f>IF(学校マスタ!$A21="","",IF(AND(学校マスタ!$U21&lt;&gt;"",学校マスタ!$U21&gt;=Z$3,学校マスタ!$U21&lt;Z$3+7),"◎",IF(OR(AND(学校マスタ!$H21&lt;&gt;"",学校マスタ!$H21&gt;=Z$3,学校マスタ!$H21&lt;Z$3+7),AND(学校マスタ!$J21&lt;&gt;"",学校マスタ!$J21&gt;=Z$3,学校マスタ!$J21&lt;Z$3+7),AND(学校マスタ!$L21&lt;&gt;"",学校マスタ!$L21&gt;=Z$3,学校マスタ!$L21&lt;Z$3+7)),"◆",IF(AND(学校マスタ!$O21&lt;&gt;"",学校マスタ!$P21&lt;&gt;"",学校マスタ!$O21&lt;Z$3+7,学校マスタ!$P21&gt;=Z$3),"█",IF(AND(学校マスタ!$R21&lt;&gt;"",学校マスタ!$U21&lt;&gt;"",学校マスタ!$R21&lt;Z$3+7,学校マスタ!$U21&gt;=Z$3),"▒","")))))</f>
        <v/>
      </c>
      <c r="AA23" s="26">
        <f>IF(学校マスタ!$A21="","",IF(AND(学校マスタ!$U21&lt;&gt;"",学校マスタ!$U21&gt;=AA$3,学校マスタ!$U21&lt;AA$3+7),"◎",IF(OR(AND(学校マスタ!$H21&lt;&gt;"",学校マスタ!$H21&gt;=AA$3,学校マスタ!$H21&lt;AA$3+7),AND(学校マスタ!$J21&lt;&gt;"",学校マスタ!$J21&gt;=AA$3,学校マスタ!$J21&lt;AA$3+7),AND(学校マスタ!$L21&lt;&gt;"",学校マスタ!$L21&gt;=AA$3,学校マスタ!$L21&lt;AA$3+7)),"◆",IF(AND(学校マスタ!$O21&lt;&gt;"",学校マスタ!$P21&lt;&gt;"",学校マスタ!$O21&lt;AA$3+7,学校マスタ!$P21&gt;=AA$3),"█",IF(AND(学校マスタ!$R21&lt;&gt;"",学校マスタ!$U21&lt;&gt;"",学校マスタ!$R21&lt;AA$3+7,学校マスタ!$U21&gt;=AA$3),"▒","")))))</f>
        <v/>
      </c>
      <c r="AB23" s="26">
        <f>IF(学校マスタ!$A21="","",IF(AND(学校マスタ!$U21&lt;&gt;"",学校マスタ!$U21&gt;=AB$3,学校マスタ!$U21&lt;AB$3+7),"◎",IF(OR(AND(学校マスタ!$H21&lt;&gt;"",学校マスタ!$H21&gt;=AB$3,学校マスタ!$H21&lt;AB$3+7),AND(学校マスタ!$J21&lt;&gt;"",学校マスタ!$J21&gt;=AB$3,学校マスタ!$J21&lt;AB$3+7),AND(学校マスタ!$L21&lt;&gt;"",学校マスタ!$L21&gt;=AB$3,学校マスタ!$L21&lt;AB$3+7)),"◆",IF(AND(学校マスタ!$O21&lt;&gt;"",学校マスタ!$P21&lt;&gt;"",学校マスタ!$O21&lt;AB$3+7,学校マスタ!$P21&gt;=AB$3),"█",IF(AND(学校マスタ!$R21&lt;&gt;"",学校マスタ!$U21&lt;&gt;"",学校マスタ!$R21&lt;AB$3+7,学校マスタ!$U21&gt;=AB$3),"▒","")))))</f>
        <v/>
      </c>
    </row>
    <row r="24">
      <c r="A24" s="19">
        <f>IF(学校マスタ!$A22="","",学校マスタ!$A22)</f>
        <v/>
      </c>
      <c r="B24" s="19">
        <f>IF(学校マスタ!$A22="","",学校マスタ!$C22)</f>
        <v/>
      </c>
      <c r="C24" s="19">
        <f>IF(学校マスタ!$A22="","",学校マスタ!$X22)</f>
        <v/>
      </c>
      <c r="D24" s="25">
        <f>IF(学校マスタ!$A22="","",学校マスタ!$R22)</f>
        <v/>
      </c>
      <c r="E24" s="26">
        <f>IF(学校マスタ!$A22="","",IF(AND(学校マスタ!$U22&lt;&gt;"",学校マスタ!$U22&gt;=E$3,学校マスタ!$U22&lt;E$3+7),"◎",IF(OR(AND(学校マスタ!$H22&lt;&gt;"",学校マスタ!$H22&gt;=E$3,学校マスタ!$H22&lt;E$3+7),AND(学校マスタ!$J22&lt;&gt;"",学校マスタ!$J22&gt;=E$3,学校マスタ!$J22&lt;E$3+7),AND(学校マスタ!$L22&lt;&gt;"",学校マスタ!$L22&gt;=E$3,学校マスタ!$L22&lt;E$3+7)),"◆",IF(AND(学校マスタ!$O22&lt;&gt;"",学校マスタ!$P22&lt;&gt;"",学校マスタ!$O22&lt;E$3+7,学校マスタ!$P22&gt;=E$3),"█",IF(AND(学校マスタ!$R22&lt;&gt;"",学校マスタ!$U22&lt;&gt;"",学校マスタ!$R22&lt;E$3+7,学校マスタ!$U22&gt;=E$3),"▒","")))))</f>
        <v/>
      </c>
      <c r="F24" s="26">
        <f>IF(学校マスタ!$A22="","",IF(AND(学校マスタ!$U22&lt;&gt;"",学校マスタ!$U22&gt;=F$3,学校マスタ!$U22&lt;F$3+7),"◎",IF(OR(AND(学校マスタ!$H22&lt;&gt;"",学校マスタ!$H22&gt;=F$3,学校マスタ!$H22&lt;F$3+7),AND(学校マスタ!$J22&lt;&gt;"",学校マスタ!$J22&gt;=F$3,学校マスタ!$J22&lt;F$3+7),AND(学校マスタ!$L22&lt;&gt;"",学校マスタ!$L22&gt;=F$3,学校マスタ!$L22&lt;F$3+7)),"◆",IF(AND(学校マスタ!$O22&lt;&gt;"",学校マスタ!$P22&lt;&gt;"",学校マスタ!$O22&lt;F$3+7,学校マスタ!$P22&gt;=F$3),"█",IF(AND(学校マスタ!$R22&lt;&gt;"",学校マスタ!$U22&lt;&gt;"",学校マスタ!$R22&lt;F$3+7,学校マスタ!$U22&gt;=F$3),"▒","")))))</f>
        <v/>
      </c>
      <c r="G24" s="26">
        <f>IF(学校マスタ!$A22="","",IF(AND(学校マスタ!$U22&lt;&gt;"",学校マスタ!$U22&gt;=G$3,学校マスタ!$U22&lt;G$3+7),"◎",IF(OR(AND(学校マスタ!$H22&lt;&gt;"",学校マスタ!$H22&gt;=G$3,学校マスタ!$H22&lt;G$3+7),AND(学校マスタ!$J22&lt;&gt;"",学校マスタ!$J22&gt;=G$3,学校マスタ!$J22&lt;G$3+7),AND(学校マスタ!$L22&lt;&gt;"",学校マスタ!$L22&gt;=G$3,学校マスタ!$L22&lt;G$3+7)),"◆",IF(AND(学校マスタ!$O22&lt;&gt;"",学校マスタ!$P22&lt;&gt;"",学校マスタ!$O22&lt;G$3+7,学校マスタ!$P22&gt;=G$3),"█",IF(AND(学校マスタ!$R22&lt;&gt;"",学校マスタ!$U22&lt;&gt;"",学校マスタ!$R22&lt;G$3+7,学校マスタ!$U22&gt;=G$3),"▒","")))))</f>
        <v/>
      </c>
      <c r="H24" s="26">
        <f>IF(学校マスタ!$A22="","",IF(AND(学校マスタ!$U22&lt;&gt;"",学校マスタ!$U22&gt;=H$3,学校マスタ!$U22&lt;H$3+7),"◎",IF(OR(AND(学校マスタ!$H22&lt;&gt;"",学校マスタ!$H22&gt;=H$3,学校マスタ!$H22&lt;H$3+7),AND(学校マスタ!$J22&lt;&gt;"",学校マスタ!$J22&gt;=H$3,学校マスタ!$J22&lt;H$3+7),AND(学校マスタ!$L22&lt;&gt;"",学校マスタ!$L22&gt;=H$3,学校マスタ!$L22&lt;H$3+7)),"◆",IF(AND(学校マスタ!$O22&lt;&gt;"",学校マスタ!$P22&lt;&gt;"",学校マスタ!$O22&lt;H$3+7,学校マスタ!$P22&gt;=H$3),"█",IF(AND(学校マスタ!$R22&lt;&gt;"",学校マスタ!$U22&lt;&gt;"",学校マスタ!$R22&lt;H$3+7,学校マスタ!$U22&gt;=H$3),"▒","")))))</f>
        <v/>
      </c>
      <c r="I24" s="26">
        <f>IF(学校マスタ!$A22="","",IF(AND(学校マスタ!$U22&lt;&gt;"",学校マスタ!$U22&gt;=I$3,学校マスタ!$U22&lt;I$3+7),"◎",IF(OR(AND(学校マスタ!$H22&lt;&gt;"",学校マスタ!$H22&gt;=I$3,学校マスタ!$H22&lt;I$3+7),AND(学校マスタ!$J22&lt;&gt;"",学校マスタ!$J22&gt;=I$3,学校マスタ!$J22&lt;I$3+7),AND(学校マスタ!$L22&lt;&gt;"",学校マスタ!$L22&gt;=I$3,学校マスタ!$L22&lt;I$3+7)),"◆",IF(AND(学校マスタ!$O22&lt;&gt;"",学校マスタ!$P22&lt;&gt;"",学校マスタ!$O22&lt;I$3+7,学校マスタ!$P22&gt;=I$3),"█",IF(AND(学校マスタ!$R22&lt;&gt;"",学校マスタ!$U22&lt;&gt;"",学校マスタ!$R22&lt;I$3+7,学校マスタ!$U22&gt;=I$3),"▒","")))))</f>
        <v/>
      </c>
      <c r="J24" s="26">
        <f>IF(学校マスタ!$A22="","",IF(AND(学校マスタ!$U22&lt;&gt;"",学校マスタ!$U22&gt;=J$3,学校マスタ!$U22&lt;J$3+7),"◎",IF(OR(AND(学校マスタ!$H22&lt;&gt;"",学校マスタ!$H22&gt;=J$3,学校マスタ!$H22&lt;J$3+7),AND(学校マスタ!$J22&lt;&gt;"",学校マスタ!$J22&gt;=J$3,学校マスタ!$J22&lt;J$3+7),AND(学校マスタ!$L22&lt;&gt;"",学校マスタ!$L22&gt;=J$3,学校マスタ!$L22&lt;J$3+7)),"◆",IF(AND(学校マスタ!$O22&lt;&gt;"",学校マスタ!$P22&lt;&gt;"",学校マスタ!$O22&lt;J$3+7,学校マスタ!$P22&gt;=J$3),"█",IF(AND(学校マスタ!$R22&lt;&gt;"",学校マスタ!$U22&lt;&gt;"",学校マスタ!$R22&lt;J$3+7,学校マスタ!$U22&gt;=J$3),"▒","")))))</f>
        <v/>
      </c>
      <c r="K24" s="26">
        <f>IF(学校マスタ!$A22="","",IF(AND(学校マスタ!$U22&lt;&gt;"",学校マスタ!$U22&gt;=K$3,学校マスタ!$U22&lt;K$3+7),"◎",IF(OR(AND(学校マスタ!$H22&lt;&gt;"",学校マスタ!$H22&gt;=K$3,学校マスタ!$H22&lt;K$3+7),AND(学校マスタ!$J22&lt;&gt;"",学校マスタ!$J22&gt;=K$3,学校マスタ!$J22&lt;K$3+7),AND(学校マスタ!$L22&lt;&gt;"",学校マスタ!$L22&gt;=K$3,学校マスタ!$L22&lt;K$3+7)),"◆",IF(AND(学校マスタ!$O22&lt;&gt;"",学校マスタ!$P22&lt;&gt;"",学校マスタ!$O22&lt;K$3+7,学校マスタ!$P22&gt;=K$3),"█",IF(AND(学校マスタ!$R22&lt;&gt;"",学校マスタ!$U22&lt;&gt;"",学校マスタ!$R22&lt;K$3+7,学校マスタ!$U22&gt;=K$3),"▒","")))))</f>
        <v/>
      </c>
      <c r="L24" s="26">
        <f>IF(学校マスタ!$A22="","",IF(AND(学校マスタ!$U22&lt;&gt;"",学校マスタ!$U22&gt;=L$3,学校マスタ!$U22&lt;L$3+7),"◎",IF(OR(AND(学校マスタ!$H22&lt;&gt;"",学校マスタ!$H22&gt;=L$3,学校マスタ!$H22&lt;L$3+7),AND(学校マスタ!$J22&lt;&gt;"",学校マスタ!$J22&gt;=L$3,学校マスタ!$J22&lt;L$3+7),AND(学校マスタ!$L22&lt;&gt;"",学校マスタ!$L22&gt;=L$3,学校マスタ!$L22&lt;L$3+7)),"◆",IF(AND(学校マスタ!$O22&lt;&gt;"",学校マスタ!$P22&lt;&gt;"",学校マスタ!$O22&lt;L$3+7,学校マスタ!$P22&gt;=L$3),"█",IF(AND(学校マスタ!$R22&lt;&gt;"",学校マスタ!$U22&lt;&gt;"",学校マスタ!$R22&lt;L$3+7,学校マスタ!$U22&gt;=L$3),"▒","")))))</f>
        <v/>
      </c>
      <c r="M24" s="26">
        <f>IF(学校マスタ!$A22="","",IF(AND(学校マスタ!$U22&lt;&gt;"",学校マスタ!$U22&gt;=M$3,学校マスタ!$U22&lt;M$3+7),"◎",IF(OR(AND(学校マスタ!$H22&lt;&gt;"",学校マスタ!$H22&gt;=M$3,学校マスタ!$H22&lt;M$3+7),AND(学校マスタ!$J22&lt;&gt;"",学校マスタ!$J22&gt;=M$3,学校マスタ!$J22&lt;M$3+7),AND(学校マスタ!$L22&lt;&gt;"",学校マスタ!$L22&gt;=M$3,学校マスタ!$L22&lt;M$3+7)),"◆",IF(AND(学校マスタ!$O22&lt;&gt;"",学校マスタ!$P22&lt;&gt;"",学校マスタ!$O22&lt;M$3+7,学校マスタ!$P22&gt;=M$3),"█",IF(AND(学校マスタ!$R22&lt;&gt;"",学校マスタ!$U22&lt;&gt;"",学校マスタ!$R22&lt;M$3+7,学校マスタ!$U22&gt;=M$3),"▒","")))))</f>
        <v/>
      </c>
      <c r="N24" s="26">
        <f>IF(学校マスタ!$A22="","",IF(AND(学校マスタ!$U22&lt;&gt;"",学校マスタ!$U22&gt;=N$3,学校マスタ!$U22&lt;N$3+7),"◎",IF(OR(AND(学校マスタ!$H22&lt;&gt;"",学校マスタ!$H22&gt;=N$3,学校マスタ!$H22&lt;N$3+7),AND(学校マスタ!$J22&lt;&gt;"",学校マスタ!$J22&gt;=N$3,学校マスタ!$J22&lt;N$3+7),AND(学校マスタ!$L22&lt;&gt;"",学校マスタ!$L22&gt;=N$3,学校マスタ!$L22&lt;N$3+7)),"◆",IF(AND(学校マスタ!$O22&lt;&gt;"",学校マスタ!$P22&lt;&gt;"",学校マスタ!$O22&lt;N$3+7,学校マスタ!$P22&gt;=N$3),"█",IF(AND(学校マスタ!$R22&lt;&gt;"",学校マスタ!$U22&lt;&gt;"",学校マスタ!$R22&lt;N$3+7,学校マスタ!$U22&gt;=N$3),"▒","")))))</f>
        <v/>
      </c>
      <c r="O24" s="26">
        <f>IF(学校マスタ!$A22="","",IF(AND(学校マスタ!$U22&lt;&gt;"",学校マスタ!$U22&gt;=O$3,学校マスタ!$U22&lt;O$3+7),"◎",IF(OR(AND(学校マスタ!$H22&lt;&gt;"",学校マスタ!$H22&gt;=O$3,学校マスタ!$H22&lt;O$3+7),AND(学校マスタ!$J22&lt;&gt;"",学校マスタ!$J22&gt;=O$3,学校マスタ!$J22&lt;O$3+7),AND(学校マスタ!$L22&lt;&gt;"",学校マスタ!$L22&gt;=O$3,学校マスタ!$L22&lt;O$3+7)),"◆",IF(AND(学校マスタ!$O22&lt;&gt;"",学校マスタ!$P22&lt;&gt;"",学校マスタ!$O22&lt;O$3+7,学校マスタ!$P22&gt;=O$3),"█",IF(AND(学校マスタ!$R22&lt;&gt;"",学校マスタ!$U22&lt;&gt;"",学校マスタ!$R22&lt;O$3+7,学校マスタ!$U22&gt;=O$3),"▒","")))))</f>
        <v/>
      </c>
      <c r="P24" s="26">
        <f>IF(学校マスタ!$A22="","",IF(AND(学校マスタ!$U22&lt;&gt;"",学校マスタ!$U22&gt;=P$3,学校マスタ!$U22&lt;P$3+7),"◎",IF(OR(AND(学校マスタ!$H22&lt;&gt;"",学校マスタ!$H22&gt;=P$3,学校マスタ!$H22&lt;P$3+7),AND(学校マスタ!$J22&lt;&gt;"",学校マスタ!$J22&gt;=P$3,学校マスタ!$J22&lt;P$3+7),AND(学校マスタ!$L22&lt;&gt;"",学校マスタ!$L22&gt;=P$3,学校マスタ!$L22&lt;P$3+7)),"◆",IF(AND(学校マスタ!$O22&lt;&gt;"",学校マスタ!$P22&lt;&gt;"",学校マスタ!$O22&lt;P$3+7,学校マスタ!$P22&gt;=P$3),"█",IF(AND(学校マスタ!$R22&lt;&gt;"",学校マスタ!$U22&lt;&gt;"",学校マスタ!$R22&lt;P$3+7,学校マスタ!$U22&gt;=P$3),"▒","")))))</f>
        <v/>
      </c>
      <c r="Q24" s="26">
        <f>IF(学校マスタ!$A22="","",IF(AND(学校マスタ!$U22&lt;&gt;"",学校マスタ!$U22&gt;=Q$3,学校マスタ!$U22&lt;Q$3+7),"◎",IF(OR(AND(学校マスタ!$H22&lt;&gt;"",学校マスタ!$H22&gt;=Q$3,学校マスタ!$H22&lt;Q$3+7),AND(学校マスタ!$J22&lt;&gt;"",学校マスタ!$J22&gt;=Q$3,学校マスタ!$J22&lt;Q$3+7),AND(学校マスタ!$L22&lt;&gt;"",学校マスタ!$L22&gt;=Q$3,学校マスタ!$L22&lt;Q$3+7)),"◆",IF(AND(学校マスタ!$O22&lt;&gt;"",学校マスタ!$P22&lt;&gt;"",学校マスタ!$O22&lt;Q$3+7,学校マスタ!$P22&gt;=Q$3),"█",IF(AND(学校マスタ!$R22&lt;&gt;"",学校マスタ!$U22&lt;&gt;"",学校マスタ!$R22&lt;Q$3+7,学校マスタ!$U22&gt;=Q$3),"▒","")))))</f>
        <v/>
      </c>
      <c r="R24" s="26">
        <f>IF(学校マスタ!$A22="","",IF(AND(学校マスタ!$U22&lt;&gt;"",学校マスタ!$U22&gt;=R$3,学校マスタ!$U22&lt;R$3+7),"◎",IF(OR(AND(学校マスタ!$H22&lt;&gt;"",学校マスタ!$H22&gt;=R$3,学校マスタ!$H22&lt;R$3+7),AND(学校マスタ!$J22&lt;&gt;"",学校マスタ!$J22&gt;=R$3,学校マスタ!$J22&lt;R$3+7),AND(学校マスタ!$L22&lt;&gt;"",学校マスタ!$L22&gt;=R$3,学校マスタ!$L22&lt;R$3+7)),"◆",IF(AND(学校マスタ!$O22&lt;&gt;"",学校マスタ!$P22&lt;&gt;"",学校マスタ!$O22&lt;R$3+7,学校マスタ!$P22&gt;=R$3),"█",IF(AND(学校マスタ!$R22&lt;&gt;"",学校マスタ!$U22&lt;&gt;"",学校マスタ!$R22&lt;R$3+7,学校マスタ!$U22&gt;=R$3),"▒","")))))</f>
        <v/>
      </c>
      <c r="S24" s="26">
        <f>IF(学校マスタ!$A22="","",IF(AND(学校マスタ!$U22&lt;&gt;"",学校マスタ!$U22&gt;=S$3,学校マスタ!$U22&lt;S$3+7),"◎",IF(OR(AND(学校マスタ!$H22&lt;&gt;"",学校マスタ!$H22&gt;=S$3,学校マスタ!$H22&lt;S$3+7),AND(学校マスタ!$J22&lt;&gt;"",学校マスタ!$J22&gt;=S$3,学校マスタ!$J22&lt;S$3+7),AND(学校マスタ!$L22&lt;&gt;"",学校マスタ!$L22&gt;=S$3,学校マスタ!$L22&lt;S$3+7)),"◆",IF(AND(学校マスタ!$O22&lt;&gt;"",学校マスタ!$P22&lt;&gt;"",学校マスタ!$O22&lt;S$3+7,学校マスタ!$P22&gt;=S$3),"█",IF(AND(学校マスタ!$R22&lt;&gt;"",学校マスタ!$U22&lt;&gt;"",学校マスタ!$R22&lt;S$3+7,学校マスタ!$U22&gt;=S$3),"▒","")))))</f>
        <v/>
      </c>
      <c r="T24" s="26">
        <f>IF(学校マスタ!$A22="","",IF(AND(学校マスタ!$U22&lt;&gt;"",学校マスタ!$U22&gt;=T$3,学校マスタ!$U22&lt;T$3+7),"◎",IF(OR(AND(学校マスタ!$H22&lt;&gt;"",学校マスタ!$H22&gt;=T$3,学校マスタ!$H22&lt;T$3+7),AND(学校マスタ!$J22&lt;&gt;"",学校マスタ!$J22&gt;=T$3,学校マスタ!$J22&lt;T$3+7),AND(学校マスタ!$L22&lt;&gt;"",学校マスタ!$L22&gt;=T$3,学校マスタ!$L22&lt;T$3+7)),"◆",IF(AND(学校マスタ!$O22&lt;&gt;"",学校マスタ!$P22&lt;&gt;"",学校マスタ!$O22&lt;T$3+7,学校マスタ!$P22&gt;=T$3),"█",IF(AND(学校マスタ!$R22&lt;&gt;"",学校マスタ!$U22&lt;&gt;"",学校マスタ!$R22&lt;T$3+7,学校マスタ!$U22&gt;=T$3),"▒","")))))</f>
        <v/>
      </c>
      <c r="U24" s="26">
        <f>IF(学校マスタ!$A22="","",IF(AND(学校マスタ!$U22&lt;&gt;"",学校マスタ!$U22&gt;=U$3,学校マスタ!$U22&lt;U$3+7),"◎",IF(OR(AND(学校マスタ!$H22&lt;&gt;"",学校マスタ!$H22&gt;=U$3,学校マスタ!$H22&lt;U$3+7),AND(学校マスタ!$J22&lt;&gt;"",学校マスタ!$J22&gt;=U$3,学校マスタ!$J22&lt;U$3+7),AND(学校マスタ!$L22&lt;&gt;"",学校マスタ!$L22&gt;=U$3,学校マスタ!$L22&lt;U$3+7)),"◆",IF(AND(学校マスタ!$O22&lt;&gt;"",学校マスタ!$P22&lt;&gt;"",学校マスタ!$O22&lt;U$3+7,学校マスタ!$P22&gt;=U$3),"█",IF(AND(学校マスタ!$R22&lt;&gt;"",学校マスタ!$U22&lt;&gt;"",学校マスタ!$R22&lt;U$3+7,学校マスタ!$U22&gt;=U$3),"▒","")))))</f>
        <v/>
      </c>
      <c r="V24" s="26">
        <f>IF(学校マスタ!$A22="","",IF(AND(学校マスタ!$U22&lt;&gt;"",学校マスタ!$U22&gt;=V$3,学校マスタ!$U22&lt;V$3+7),"◎",IF(OR(AND(学校マスタ!$H22&lt;&gt;"",学校マスタ!$H22&gt;=V$3,学校マスタ!$H22&lt;V$3+7),AND(学校マスタ!$J22&lt;&gt;"",学校マスタ!$J22&gt;=V$3,学校マスタ!$J22&lt;V$3+7),AND(学校マスタ!$L22&lt;&gt;"",学校マスタ!$L22&gt;=V$3,学校マスタ!$L22&lt;V$3+7)),"◆",IF(AND(学校マスタ!$O22&lt;&gt;"",学校マスタ!$P22&lt;&gt;"",学校マスタ!$O22&lt;V$3+7,学校マスタ!$P22&gt;=V$3),"█",IF(AND(学校マスタ!$R22&lt;&gt;"",学校マスタ!$U22&lt;&gt;"",学校マスタ!$R22&lt;V$3+7,学校マスタ!$U22&gt;=V$3),"▒","")))))</f>
        <v/>
      </c>
      <c r="W24" s="26">
        <f>IF(学校マスタ!$A22="","",IF(AND(学校マスタ!$U22&lt;&gt;"",学校マスタ!$U22&gt;=W$3,学校マスタ!$U22&lt;W$3+7),"◎",IF(OR(AND(学校マスタ!$H22&lt;&gt;"",学校マスタ!$H22&gt;=W$3,学校マスタ!$H22&lt;W$3+7),AND(学校マスタ!$J22&lt;&gt;"",学校マスタ!$J22&gt;=W$3,学校マスタ!$J22&lt;W$3+7),AND(学校マスタ!$L22&lt;&gt;"",学校マスタ!$L22&gt;=W$3,学校マスタ!$L22&lt;W$3+7)),"◆",IF(AND(学校マスタ!$O22&lt;&gt;"",学校マスタ!$P22&lt;&gt;"",学校マスタ!$O22&lt;W$3+7,学校マスタ!$P22&gt;=W$3),"█",IF(AND(学校マスタ!$R22&lt;&gt;"",学校マスタ!$U22&lt;&gt;"",学校マスタ!$R22&lt;W$3+7,学校マスタ!$U22&gt;=W$3),"▒","")))))</f>
        <v/>
      </c>
      <c r="X24" s="26">
        <f>IF(学校マスタ!$A22="","",IF(AND(学校マスタ!$U22&lt;&gt;"",学校マスタ!$U22&gt;=X$3,学校マスタ!$U22&lt;X$3+7),"◎",IF(OR(AND(学校マスタ!$H22&lt;&gt;"",学校マスタ!$H22&gt;=X$3,学校マスタ!$H22&lt;X$3+7),AND(学校マスタ!$J22&lt;&gt;"",学校マスタ!$J22&gt;=X$3,学校マスタ!$J22&lt;X$3+7),AND(学校マスタ!$L22&lt;&gt;"",学校マスタ!$L22&gt;=X$3,学校マスタ!$L22&lt;X$3+7)),"◆",IF(AND(学校マスタ!$O22&lt;&gt;"",学校マスタ!$P22&lt;&gt;"",学校マスタ!$O22&lt;X$3+7,学校マスタ!$P22&gt;=X$3),"█",IF(AND(学校マスタ!$R22&lt;&gt;"",学校マスタ!$U22&lt;&gt;"",学校マスタ!$R22&lt;X$3+7,学校マスタ!$U22&gt;=X$3),"▒","")))))</f>
        <v/>
      </c>
      <c r="Y24" s="26">
        <f>IF(学校マスタ!$A22="","",IF(AND(学校マスタ!$U22&lt;&gt;"",学校マスタ!$U22&gt;=Y$3,学校マスタ!$U22&lt;Y$3+7),"◎",IF(OR(AND(学校マスタ!$H22&lt;&gt;"",学校マスタ!$H22&gt;=Y$3,学校マスタ!$H22&lt;Y$3+7),AND(学校マスタ!$J22&lt;&gt;"",学校マスタ!$J22&gt;=Y$3,学校マスタ!$J22&lt;Y$3+7),AND(学校マスタ!$L22&lt;&gt;"",学校マスタ!$L22&gt;=Y$3,学校マスタ!$L22&lt;Y$3+7)),"◆",IF(AND(学校マスタ!$O22&lt;&gt;"",学校マスタ!$P22&lt;&gt;"",学校マスタ!$O22&lt;Y$3+7,学校マスタ!$P22&gt;=Y$3),"█",IF(AND(学校マスタ!$R22&lt;&gt;"",学校マスタ!$U22&lt;&gt;"",学校マスタ!$R22&lt;Y$3+7,学校マスタ!$U22&gt;=Y$3),"▒","")))))</f>
        <v/>
      </c>
      <c r="Z24" s="26">
        <f>IF(学校マスタ!$A22="","",IF(AND(学校マスタ!$U22&lt;&gt;"",学校マスタ!$U22&gt;=Z$3,学校マスタ!$U22&lt;Z$3+7),"◎",IF(OR(AND(学校マスタ!$H22&lt;&gt;"",学校マスタ!$H22&gt;=Z$3,学校マスタ!$H22&lt;Z$3+7),AND(学校マスタ!$J22&lt;&gt;"",学校マスタ!$J22&gt;=Z$3,学校マスタ!$J22&lt;Z$3+7),AND(学校マスタ!$L22&lt;&gt;"",学校マスタ!$L22&gt;=Z$3,学校マスタ!$L22&lt;Z$3+7)),"◆",IF(AND(学校マスタ!$O22&lt;&gt;"",学校マスタ!$P22&lt;&gt;"",学校マスタ!$O22&lt;Z$3+7,学校マスタ!$P22&gt;=Z$3),"█",IF(AND(学校マスタ!$R22&lt;&gt;"",学校マスタ!$U22&lt;&gt;"",学校マスタ!$R22&lt;Z$3+7,学校マスタ!$U22&gt;=Z$3),"▒","")))))</f>
        <v/>
      </c>
      <c r="AA24" s="26">
        <f>IF(学校マスタ!$A22="","",IF(AND(学校マスタ!$U22&lt;&gt;"",学校マスタ!$U22&gt;=AA$3,学校マスタ!$U22&lt;AA$3+7),"◎",IF(OR(AND(学校マスタ!$H22&lt;&gt;"",学校マスタ!$H22&gt;=AA$3,学校マスタ!$H22&lt;AA$3+7),AND(学校マスタ!$J22&lt;&gt;"",学校マスタ!$J22&gt;=AA$3,学校マスタ!$J22&lt;AA$3+7),AND(学校マスタ!$L22&lt;&gt;"",学校マスタ!$L22&gt;=AA$3,学校マスタ!$L22&lt;AA$3+7)),"◆",IF(AND(学校マスタ!$O22&lt;&gt;"",学校マスタ!$P22&lt;&gt;"",学校マスタ!$O22&lt;AA$3+7,学校マスタ!$P22&gt;=AA$3),"█",IF(AND(学校マスタ!$R22&lt;&gt;"",学校マスタ!$U22&lt;&gt;"",学校マスタ!$R22&lt;AA$3+7,学校マスタ!$U22&gt;=AA$3),"▒","")))))</f>
        <v/>
      </c>
      <c r="AB24" s="26">
        <f>IF(学校マスタ!$A22="","",IF(AND(学校マスタ!$U22&lt;&gt;"",学校マスタ!$U22&gt;=AB$3,学校マスタ!$U22&lt;AB$3+7),"◎",IF(OR(AND(学校マスタ!$H22&lt;&gt;"",学校マスタ!$H22&gt;=AB$3,学校マスタ!$H22&lt;AB$3+7),AND(学校マスタ!$J22&lt;&gt;"",学校マスタ!$J22&gt;=AB$3,学校マスタ!$J22&lt;AB$3+7),AND(学校マスタ!$L22&lt;&gt;"",学校マスタ!$L22&gt;=AB$3,学校マスタ!$L22&lt;AB$3+7)),"◆",IF(AND(学校マスタ!$O22&lt;&gt;"",学校マスタ!$P22&lt;&gt;"",学校マスタ!$O22&lt;AB$3+7,学校マスタ!$P22&gt;=AB$3),"█",IF(AND(学校マスタ!$R22&lt;&gt;"",学校マスタ!$U22&lt;&gt;"",学校マスタ!$R22&lt;AB$3+7,学校マスタ!$U22&gt;=AB$3),"▒","")))))</f>
        <v/>
      </c>
    </row>
    <row r="25">
      <c r="A25" s="19">
        <f>IF(学校マスタ!$A23="","",学校マスタ!$A23)</f>
        <v/>
      </c>
      <c r="B25" s="19">
        <f>IF(学校マスタ!$A23="","",学校マスタ!$C23)</f>
        <v/>
      </c>
      <c r="C25" s="19">
        <f>IF(学校マスタ!$A23="","",学校マスタ!$X23)</f>
        <v/>
      </c>
      <c r="D25" s="25">
        <f>IF(学校マスタ!$A23="","",学校マスタ!$R23)</f>
        <v/>
      </c>
      <c r="E25" s="26">
        <f>IF(学校マスタ!$A23="","",IF(AND(学校マスタ!$U23&lt;&gt;"",学校マスタ!$U23&gt;=E$3,学校マスタ!$U23&lt;E$3+7),"◎",IF(OR(AND(学校マスタ!$H23&lt;&gt;"",学校マスタ!$H23&gt;=E$3,学校マスタ!$H23&lt;E$3+7),AND(学校マスタ!$J23&lt;&gt;"",学校マスタ!$J23&gt;=E$3,学校マスタ!$J23&lt;E$3+7),AND(学校マスタ!$L23&lt;&gt;"",学校マスタ!$L23&gt;=E$3,学校マスタ!$L23&lt;E$3+7)),"◆",IF(AND(学校マスタ!$O23&lt;&gt;"",学校マスタ!$P23&lt;&gt;"",学校マスタ!$O23&lt;E$3+7,学校マスタ!$P23&gt;=E$3),"█",IF(AND(学校マスタ!$R23&lt;&gt;"",学校マスタ!$U23&lt;&gt;"",学校マスタ!$R23&lt;E$3+7,学校マスタ!$U23&gt;=E$3),"▒","")))))</f>
        <v/>
      </c>
      <c r="F25" s="26">
        <f>IF(学校マスタ!$A23="","",IF(AND(学校マスタ!$U23&lt;&gt;"",学校マスタ!$U23&gt;=F$3,学校マスタ!$U23&lt;F$3+7),"◎",IF(OR(AND(学校マスタ!$H23&lt;&gt;"",学校マスタ!$H23&gt;=F$3,学校マスタ!$H23&lt;F$3+7),AND(学校マスタ!$J23&lt;&gt;"",学校マスタ!$J23&gt;=F$3,学校マスタ!$J23&lt;F$3+7),AND(学校マスタ!$L23&lt;&gt;"",学校マスタ!$L23&gt;=F$3,学校マスタ!$L23&lt;F$3+7)),"◆",IF(AND(学校マスタ!$O23&lt;&gt;"",学校マスタ!$P23&lt;&gt;"",学校マスタ!$O23&lt;F$3+7,学校マスタ!$P23&gt;=F$3),"█",IF(AND(学校マスタ!$R23&lt;&gt;"",学校マスタ!$U23&lt;&gt;"",学校マスタ!$R23&lt;F$3+7,学校マスタ!$U23&gt;=F$3),"▒","")))))</f>
        <v/>
      </c>
      <c r="G25" s="26">
        <f>IF(学校マスタ!$A23="","",IF(AND(学校マスタ!$U23&lt;&gt;"",学校マスタ!$U23&gt;=G$3,学校マスタ!$U23&lt;G$3+7),"◎",IF(OR(AND(学校マスタ!$H23&lt;&gt;"",学校マスタ!$H23&gt;=G$3,学校マスタ!$H23&lt;G$3+7),AND(学校マスタ!$J23&lt;&gt;"",学校マスタ!$J23&gt;=G$3,学校マスタ!$J23&lt;G$3+7),AND(学校マスタ!$L23&lt;&gt;"",学校マスタ!$L23&gt;=G$3,学校マスタ!$L23&lt;G$3+7)),"◆",IF(AND(学校マスタ!$O23&lt;&gt;"",学校マスタ!$P23&lt;&gt;"",学校マスタ!$O23&lt;G$3+7,学校マスタ!$P23&gt;=G$3),"█",IF(AND(学校マスタ!$R23&lt;&gt;"",学校マスタ!$U23&lt;&gt;"",学校マスタ!$R23&lt;G$3+7,学校マスタ!$U23&gt;=G$3),"▒","")))))</f>
        <v/>
      </c>
      <c r="H25" s="26">
        <f>IF(学校マスタ!$A23="","",IF(AND(学校マスタ!$U23&lt;&gt;"",学校マスタ!$U23&gt;=H$3,学校マスタ!$U23&lt;H$3+7),"◎",IF(OR(AND(学校マスタ!$H23&lt;&gt;"",学校マスタ!$H23&gt;=H$3,学校マスタ!$H23&lt;H$3+7),AND(学校マスタ!$J23&lt;&gt;"",学校マスタ!$J23&gt;=H$3,学校マスタ!$J23&lt;H$3+7),AND(学校マスタ!$L23&lt;&gt;"",学校マスタ!$L23&gt;=H$3,学校マスタ!$L23&lt;H$3+7)),"◆",IF(AND(学校マスタ!$O23&lt;&gt;"",学校マスタ!$P23&lt;&gt;"",学校マスタ!$O23&lt;H$3+7,学校マスタ!$P23&gt;=H$3),"█",IF(AND(学校マスタ!$R23&lt;&gt;"",学校マスタ!$U23&lt;&gt;"",学校マスタ!$R23&lt;H$3+7,学校マスタ!$U23&gt;=H$3),"▒","")))))</f>
        <v/>
      </c>
      <c r="I25" s="26">
        <f>IF(学校マスタ!$A23="","",IF(AND(学校マスタ!$U23&lt;&gt;"",学校マスタ!$U23&gt;=I$3,学校マスタ!$U23&lt;I$3+7),"◎",IF(OR(AND(学校マスタ!$H23&lt;&gt;"",学校マスタ!$H23&gt;=I$3,学校マスタ!$H23&lt;I$3+7),AND(学校マスタ!$J23&lt;&gt;"",学校マスタ!$J23&gt;=I$3,学校マスタ!$J23&lt;I$3+7),AND(学校マスタ!$L23&lt;&gt;"",学校マスタ!$L23&gt;=I$3,学校マスタ!$L23&lt;I$3+7)),"◆",IF(AND(学校マスタ!$O23&lt;&gt;"",学校マスタ!$P23&lt;&gt;"",学校マスタ!$O23&lt;I$3+7,学校マスタ!$P23&gt;=I$3),"█",IF(AND(学校マスタ!$R23&lt;&gt;"",学校マスタ!$U23&lt;&gt;"",学校マスタ!$R23&lt;I$3+7,学校マスタ!$U23&gt;=I$3),"▒","")))))</f>
        <v/>
      </c>
      <c r="J25" s="26">
        <f>IF(学校マスタ!$A23="","",IF(AND(学校マスタ!$U23&lt;&gt;"",学校マスタ!$U23&gt;=J$3,学校マスタ!$U23&lt;J$3+7),"◎",IF(OR(AND(学校マスタ!$H23&lt;&gt;"",学校マスタ!$H23&gt;=J$3,学校マスタ!$H23&lt;J$3+7),AND(学校マスタ!$J23&lt;&gt;"",学校マスタ!$J23&gt;=J$3,学校マスタ!$J23&lt;J$3+7),AND(学校マスタ!$L23&lt;&gt;"",学校マスタ!$L23&gt;=J$3,学校マスタ!$L23&lt;J$3+7)),"◆",IF(AND(学校マスタ!$O23&lt;&gt;"",学校マスタ!$P23&lt;&gt;"",学校マスタ!$O23&lt;J$3+7,学校マスタ!$P23&gt;=J$3),"█",IF(AND(学校マスタ!$R23&lt;&gt;"",学校マスタ!$U23&lt;&gt;"",学校マスタ!$R23&lt;J$3+7,学校マスタ!$U23&gt;=J$3),"▒","")))))</f>
        <v/>
      </c>
      <c r="K25" s="26">
        <f>IF(学校マスタ!$A23="","",IF(AND(学校マスタ!$U23&lt;&gt;"",学校マスタ!$U23&gt;=K$3,学校マスタ!$U23&lt;K$3+7),"◎",IF(OR(AND(学校マスタ!$H23&lt;&gt;"",学校マスタ!$H23&gt;=K$3,学校マスタ!$H23&lt;K$3+7),AND(学校マスタ!$J23&lt;&gt;"",学校マスタ!$J23&gt;=K$3,学校マスタ!$J23&lt;K$3+7),AND(学校マスタ!$L23&lt;&gt;"",学校マスタ!$L23&gt;=K$3,学校マスタ!$L23&lt;K$3+7)),"◆",IF(AND(学校マスタ!$O23&lt;&gt;"",学校マスタ!$P23&lt;&gt;"",学校マスタ!$O23&lt;K$3+7,学校マスタ!$P23&gt;=K$3),"█",IF(AND(学校マスタ!$R23&lt;&gt;"",学校マスタ!$U23&lt;&gt;"",学校マスタ!$R23&lt;K$3+7,学校マスタ!$U23&gt;=K$3),"▒","")))))</f>
        <v/>
      </c>
      <c r="L25" s="26">
        <f>IF(学校マスタ!$A23="","",IF(AND(学校マスタ!$U23&lt;&gt;"",学校マスタ!$U23&gt;=L$3,学校マスタ!$U23&lt;L$3+7),"◎",IF(OR(AND(学校マスタ!$H23&lt;&gt;"",学校マスタ!$H23&gt;=L$3,学校マスタ!$H23&lt;L$3+7),AND(学校マスタ!$J23&lt;&gt;"",学校マスタ!$J23&gt;=L$3,学校マスタ!$J23&lt;L$3+7),AND(学校マスタ!$L23&lt;&gt;"",学校マスタ!$L23&gt;=L$3,学校マスタ!$L23&lt;L$3+7)),"◆",IF(AND(学校マスタ!$O23&lt;&gt;"",学校マスタ!$P23&lt;&gt;"",学校マスタ!$O23&lt;L$3+7,学校マスタ!$P23&gt;=L$3),"█",IF(AND(学校マスタ!$R23&lt;&gt;"",学校マスタ!$U23&lt;&gt;"",学校マスタ!$R23&lt;L$3+7,学校マスタ!$U23&gt;=L$3),"▒","")))))</f>
        <v/>
      </c>
      <c r="M25" s="26">
        <f>IF(学校マスタ!$A23="","",IF(AND(学校マスタ!$U23&lt;&gt;"",学校マスタ!$U23&gt;=M$3,学校マスタ!$U23&lt;M$3+7),"◎",IF(OR(AND(学校マスタ!$H23&lt;&gt;"",学校マスタ!$H23&gt;=M$3,学校マスタ!$H23&lt;M$3+7),AND(学校マスタ!$J23&lt;&gt;"",学校マスタ!$J23&gt;=M$3,学校マスタ!$J23&lt;M$3+7),AND(学校マスタ!$L23&lt;&gt;"",学校マスタ!$L23&gt;=M$3,学校マスタ!$L23&lt;M$3+7)),"◆",IF(AND(学校マスタ!$O23&lt;&gt;"",学校マスタ!$P23&lt;&gt;"",学校マスタ!$O23&lt;M$3+7,学校マスタ!$P23&gt;=M$3),"█",IF(AND(学校マスタ!$R23&lt;&gt;"",学校マスタ!$U23&lt;&gt;"",学校マスタ!$R23&lt;M$3+7,学校マスタ!$U23&gt;=M$3),"▒","")))))</f>
        <v/>
      </c>
      <c r="N25" s="26">
        <f>IF(学校マスタ!$A23="","",IF(AND(学校マスタ!$U23&lt;&gt;"",学校マスタ!$U23&gt;=N$3,学校マスタ!$U23&lt;N$3+7),"◎",IF(OR(AND(学校マスタ!$H23&lt;&gt;"",学校マスタ!$H23&gt;=N$3,学校マスタ!$H23&lt;N$3+7),AND(学校マスタ!$J23&lt;&gt;"",学校マスタ!$J23&gt;=N$3,学校マスタ!$J23&lt;N$3+7),AND(学校マスタ!$L23&lt;&gt;"",学校マスタ!$L23&gt;=N$3,学校マスタ!$L23&lt;N$3+7)),"◆",IF(AND(学校マスタ!$O23&lt;&gt;"",学校マスタ!$P23&lt;&gt;"",学校マスタ!$O23&lt;N$3+7,学校マスタ!$P23&gt;=N$3),"█",IF(AND(学校マスタ!$R23&lt;&gt;"",学校マスタ!$U23&lt;&gt;"",学校マスタ!$R23&lt;N$3+7,学校マスタ!$U23&gt;=N$3),"▒","")))))</f>
        <v/>
      </c>
      <c r="O25" s="26">
        <f>IF(学校マスタ!$A23="","",IF(AND(学校マスタ!$U23&lt;&gt;"",学校マスタ!$U23&gt;=O$3,学校マスタ!$U23&lt;O$3+7),"◎",IF(OR(AND(学校マスタ!$H23&lt;&gt;"",学校マスタ!$H23&gt;=O$3,学校マスタ!$H23&lt;O$3+7),AND(学校マスタ!$J23&lt;&gt;"",学校マスタ!$J23&gt;=O$3,学校マスタ!$J23&lt;O$3+7),AND(学校マスタ!$L23&lt;&gt;"",学校マスタ!$L23&gt;=O$3,学校マスタ!$L23&lt;O$3+7)),"◆",IF(AND(学校マスタ!$O23&lt;&gt;"",学校マスタ!$P23&lt;&gt;"",学校マスタ!$O23&lt;O$3+7,学校マスタ!$P23&gt;=O$3),"█",IF(AND(学校マスタ!$R23&lt;&gt;"",学校マスタ!$U23&lt;&gt;"",学校マスタ!$R23&lt;O$3+7,学校マスタ!$U23&gt;=O$3),"▒","")))))</f>
        <v/>
      </c>
      <c r="P25" s="26">
        <f>IF(学校マスタ!$A23="","",IF(AND(学校マスタ!$U23&lt;&gt;"",学校マスタ!$U23&gt;=P$3,学校マスタ!$U23&lt;P$3+7),"◎",IF(OR(AND(学校マスタ!$H23&lt;&gt;"",学校マスタ!$H23&gt;=P$3,学校マスタ!$H23&lt;P$3+7),AND(学校マスタ!$J23&lt;&gt;"",学校マスタ!$J23&gt;=P$3,学校マスタ!$J23&lt;P$3+7),AND(学校マスタ!$L23&lt;&gt;"",学校マスタ!$L23&gt;=P$3,学校マスタ!$L23&lt;P$3+7)),"◆",IF(AND(学校マスタ!$O23&lt;&gt;"",学校マスタ!$P23&lt;&gt;"",学校マスタ!$O23&lt;P$3+7,学校マスタ!$P23&gt;=P$3),"█",IF(AND(学校マスタ!$R23&lt;&gt;"",学校マスタ!$U23&lt;&gt;"",学校マスタ!$R23&lt;P$3+7,学校マスタ!$U23&gt;=P$3),"▒","")))))</f>
        <v/>
      </c>
      <c r="Q25" s="26">
        <f>IF(学校マスタ!$A23="","",IF(AND(学校マスタ!$U23&lt;&gt;"",学校マスタ!$U23&gt;=Q$3,学校マスタ!$U23&lt;Q$3+7),"◎",IF(OR(AND(学校マスタ!$H23&lt;&gt;"",学校マスタ!$H23&gt;=Q$3,学校マスタ!$H23&lt;Q$3+7),AND(学校マスタ!$J23&lt;&gt;"",学校マスタ!$J23&gt;=Q$3,学校マスタ!$J23&lt;Q$3+7),AND(学校マスタ!$L23&lt;&gt;"",学校マスタ!$L23&gt;=Q$3,学校マスタ!$L23&lt;Q$3+7)),"◆",IF(AND(学校マスタ!$O23&lt;&gt;"",学校マスタ!$P23&lt;&gt;"",学校マスタ!$O23&lt;Q$3+7,学校マスタ!$P23&gt;=Q$3),"█",IF(AND(学校マスタ!$R23&lt;&gt;"",学校マスタ!$U23&lt;&gt;"",学校マスタ!$R23&lt;Q$3+7,学校マスタ!$U23&gt;=Q$3),"▒","")))))</f>
        <v/>
      </c>
      <c r="R25" s="26">
        <f>IF(学校マスタ!$A23="","",IF(AND(学校マスタ!$U23&lt;&gt;"",学校マスタ!$U23&gt;=R$3,学校マスタ!$U23&lt;R$3+7),"◎",IF(OR(AND(学校マスタ!$H23&lt;&gt;"",学校マスタ!$H23&gt;=R$3,学校マスタ!$H23&lt;R$3+7),AND(学校マスタ!$J23&lt;&gt;"",学校マスタ!$J23&gt;=R$3,学校マスタ!$J23&lt;R$3+7),AND(学校マスタ!$L23&lt;&gt;"",学校マスタ!$L23&gt;=R$3,学校マスタ!$L23&lt;R$3+7)),"◆",IF(AND(学校マスタ!$O23&lt;&gt;"",学校マスタ!$P23&lt;&gt;"",学校マスタ!$O23&lt;R$3+7,学校マスタ!$P23&gt;=R$3),"█",IF(AND(学校マスタ!$R23&lt;&gt;"",学校マスタ!$U23&lt;&gt;"",学校マスタ!$R23&lt;R$3+7,学校マスタ!$U23&gt;=R$3),"▒","")))))</f>
        <v/>
      </c>
      <c r="S25" s="26">
        <f>IF(学校マスタ!$A23="","",IF(AND(学校マスタ!$U23&lt;&gt;"",学校マスタ!$U23&gt;=S$3,学校マスタ!$U23&lt;S$3+7),"◎",IF(OR(AND(学校マスタ!$H23&lt;&gt;"",学校マスタ!$H23&gt;=S$3,学校マスタ!$H23&lt;S$3+7),AND(学校マスタ!$J23&lt;&gt;"",学校マスタ!$J23&gt;=S$3,学校マスタ!$J23&lt;S$3+7),AND(学校マスタ!$L23&lt;&gt;"",学校マスタ!$L23&gt;=S$3,学校マスタ!$L23&lt;S$3+7)),"◆",IF(AND(学校マスタ!$O23&lt;&gt;"",学校マスタ!$P23&lt;&gt;"",学校マスタ!$O23&lt;S$3+7,学校マスタ!$P23&gt;=S$3),"█",IF(AND(学校マスタ!$R23&lt;&gt;"",学校マスタ!$U23&lt;&gt;"",学校マスタ!$R23&lt;S$3+7,学校マスタ!$U23&gt;=S$3),"▒","")))))</f>
        <v/>
      </c>
      <c r="T25" s="26">
        <f>IF(学校マスタ!$A23="","",IF(AND(学校マスタ!$U23&lt;&gt;"",学校マスタ!$U23&gt;=T$3,学校マスタ!$U23&lt;T$3+7),"◎",IF(OR(AND(学校マスタ!$H23&lt;&gt;"",学校マスタ!$H23&gt;=T$3,学校マスタ!$H23&lt;T$3+7),AND(学校マスタ!$J23&lt;&gt;"",学校マスタ!$J23&gt;=T$3,学校マスタ!$J23&lt;T$3+7),AND(学校マスタ!$L23&lt;&gt;"",学校マスタ!$L23&gt;=T$3,学校マスタ!$L23&lt;T$3+7)),"◆",IF(AND(学校マスタ!$O23&lt;&gt;"",学校マスタ!$P23&lt;&gt;"",学校マスタ!$O23&lt;T$3+7,学校マスタ!$P23&gt;=T$3),"█",IF(AND(学校マスタ!$R23&lt;&gt;"",学校マスタ!$U23&lt;&gt;"",学校マスタ!$R23&lt;T$3+7,学校マスタ!$U23&gt;=T$3),"▒","")))))</f>
        <v/>
      </c>
      <c r="U25" s="26">
        <f>IF(学校マスタ!$A23="","",IF(AND(学校マスタ!$U23&lt;&gt;"",学校マスタ!$U23&gt;=U$3,学校マスタ!$U23&lt;U$3+7),"◎",IF(OR(AND(学校マスタ!$H23&lt;&gt;"",学校マスタ!$H23&gt;=U$3,学校マスタ!$H23&lt;U$3+7),AND(学校マスタ!$J23&lt;&gt;"",学校マスタ!$J23&gt;=U$3,学校マスタ!$J23&lt;U$3+7),AND(学校マスタ!$L23&lt;&gt;"",学校マスタ!$L23&gt;=U$3,学校マスタ!$L23&lt;U$3+7)),"◆",IF(AND(学校マスタ!$O23&lt;&gt;"",学校マスタ!$P23&lt;&gt;"",学校マスタ!$O23&lt;U$3+7,学校マスタ!$P23&gt;=U$3),"█",IF(AND(学校マスタ!$R23&lt;&gt;"",学校マスタ!$U23&lt;&gt;"",学校マスタ!$R23&lt;U$3+7,学校マスタ!$U23&gt;=U$3),"▒","")))))</f>
        <v/>
      </c>
      <c r="V25" s="26">
        <f>IF(学校マスタ!$A23="","",IF(AND(学校マスタ!$U23&lt;&gt;"",学校マスタ!$U23&gt;=V$3,学校マスタ!$U23&lt;V$3+7),"◎",IF(OR(AND(学校マスタ!$H23&lt;&gt;"",学校マスタ!$H23&gt;=V$3,学校マスタ!$H23&lt;V$3+7),AND(学校マスタ!$J23&lt;&gt;"",学校マスタ!$J23&gt;=V$3,学校マスタ!$J23&lt;V$3+7),AND(学校マスタ!$L23&lt;&gt;"",学校マスタ!$L23&gt;=V$3,学校マスタ!$L23&lt;V$3+7)),"◆",IF(AND(学校マスタ!$O23&lt;&gt;"",学校マスタ!$P23&lt;&gt;"",学校マスタ!$O23&lt;V$3+7,学校マスタ!$P23&gt;=V$3),"█",IF(AND(学校マスタ!$R23&lt;&gt;"",学校マスタ!$U23&lt;&gt;"",学校マスタ!$R23&lt;V$3+7,学校マスタ!$U23&gt;=V$3),"▒","")))))</f>
        <v/>
      </c>
      <c r="W25" s="26">
        <f>IF(学校マスタ!$A23="","",IF(AND(学校マスタ!$U23&lt;&gt;"",学校マスタ!$U23&gt;=W$3,学校マスタ!$U23&lt;W$3+7),"◎",IF(OR(AND(学校マスタ!$H23&lt;&gt;"",学校マスタ!$H23&gt;=W$3,学校マスタ!$H23&lt;W$3+7),AND(学校マスタ!$J23&lt;&gt;"",学校マスタ!$J23&gt;=W$3,学校マスタ!$J23&lt;W$3+7),AND(学校マスタ!$L23&lt;&gt;"",学校マスタ!$L23&gt;=W$3,学校マスタ!$L23&lt;W$3+7)),"◆",IF(AND(学校マスタ!$O23&lt;&gt;"",学校マスタ!$P23&lt;&gt;"",学校マスタ!$O23&lt;W$3+7,学校マスタ!$P23&gt;=W$3),"█",IF(AND(学校マスタ!$R23&lt;&gt;"",学校マスタ!$U23&lt;&gt;"",学校マスタ!$R23&lt;W$3+7,学校マスタ!$U23&gt;=W$3),"▒","")))))</f>
        <v/>
      </c>
      <c r="X25" s="26">
        <f>IF(学校マスタ!$A23="","",IF(AND(学校マスタ!$U23&lt;&gt;"",学校マスタ!$U23&gt;=X$3,学校マスタ!$U23&lt;X$3+7),"◎",IF(OR(AND(学校マスタ!$H23&lt;&gt;"",学校マスタ!$H23&gt;=X$3,学校マスタ!$H23&lt;X$3+7),AND(学校マスタ!$J23&lt;&gt;"",学校マスタ!$J23&gt;=X$3,学校マスタ!$J23&lt;X$3+7),AND(学校マスタ!$L23&lt;&gt;"",学校マスタ!$L23&gt;=X$3,学校マスタ!$L23&lt;X$3+7)),"◆",IF(AND(学校マスタ!$O23&lt;&gt;"",学校マスタ!$P23&lt;&gt;"",学校マスタ!$O23&lt;X$3+7,学校マスタ!$P23&gt;=X$3),"█",IF(AND(学校マスタ!$R23&lt;&gt;"",学校マスタ!$U23&lt;&gt;"",学校マスタ!$R23&lt;X$3+7,学校マスタ!$U23&gt;=X$3),"▒","")))))</f>
        <v/>
      </c>
      <c r="Y25" s="26">
        <f>IF(学校マスタ!$A23="","",IF(AND(学校マスタ!$U23&lt;&gt;"",学校マスタ!$U23&gt;=Y$3,学校マスタ!$U23&lt;Y$3+7),"◎",IF(OR(AND(学校マスタ!$H23&lt;&gt;"",学校マスタ!$H23&gt;=Y$3,学校マスタ!$H23&lt;Y$3+7),AND(学校マスタ!$J23&lt;&gt;"",学校マスタ!$J23&gt;=Y$3,学校マスタ!$J23&lt;Y$3+7),AND(学校マスタ!$L23&lt;&gt;"",学校マスタ!$L23&gt;=Y$3,学校マスタ!$L23&lt;Y$3+7)),"◆",IF(AND(学校マスタ!$O23&lt;&gt;"",学校マスタ!$P23&lt;&gt;"",学校マスタ!$O23&lt;Y$3+7,学校マスタ!$P23&gt;=Y$3),"█",IF(AND(学校マスタ!$R23&lt;&gt;"",学校マスタ!$U23&lt;&gt;"",学校マスタ!$R23&lt;Y$3+7,学校マスタ!$U23&gt;=Y$3),"▒","")))))</f>
        <v/>
      </c>
      <c r="Z25" s="26">
        <f>IF(学校マスタ!$A23="","",IF(AND(学校マスタ!$U23&lt;&gt;"",学校マスタ!$U23&gt;=Z$3,学校マスタ!$U23&lt;Z$3+7),"◎",IF(OR(AND(学校マスタ!$H23&lt;&gt;"",学校マスタ!$H23&gt;=Z$3,学校マスタ!$H23&lt;Z$3+7),AND(学校マスタ!$J23&lt;&gt;"",学校マスタ!$J23&gt;=Z$3,学校マスタ!$J23&lt;Z$3+7),AND(学校マスタ!$L23&lt;&gt;"",学校マスタ!$L23&gt;=Z$3,学校マスタ!$L23&lt;Z$3+7)),"◆",IF(AND(学校マスタ!$O23&lt;&gt;"",学校マスタ!$P23&lt;&gt;"",学校マスタ!$O23&lt;Z$3+7,学校マスタ!$P23&gt;=Z$3),"█",IF(AND(学校マスタ!$R23&lt;&gt;"",学校マスタ!$U23&lt;&gt;"",学校マスタ!$R23&lt;Z$3+7,学校マスタ!$U23&gt;=Z$3),"▒","")))))</f>
        <v/>
      </c>
      <c r="AA25" s="26">
        <f>IF(学校マスタ!$A23="","",IF(AND(学校マスタ!$U23&lt;&gt;"",学校マスタ!$U23&gt;=AA$3,学校マスタ!$U23&lt;AA$3+7),"◎",IF(OR(AND(学校マスタ!$H23&lt;&gt;"",学校マスタ!$H23&gt;=AA$3,学校マスタ!$H23&lt;AA$3+7),AND(学校マスタ!$J23&lt;&gt;"",学校マスタ!$J23&gt;=AA$3,学校マスタ!$J23&lt;AA$3+7),AND(学校マスタ!$L23&lt;&gt;"",学校マスタ!$L23&gt;=AA$3,学校マスタ!$L23&lt;AA$3+7)),"◆",IF(AND(学校マスタ!$O23&lt;&gt;"",学校マスタ!$P23&lt;&gt;"",学校マスタ!$O23&lt;AA$3+7,学校マスタ!$P23&gt;=AA$3),"█",IF(AND(学校マスタ!$R23&lt;&gt;"",学校マスタ!$U23&lt;&gt;"",学校マスタ!$R23&lt;AA$3+7,学校マスタ!$U23&gt;=AA$3),"▒","")))))</f>
        <v/>
      </c>
      <c r="AB25" s="26">
        <f>IF(学校マスタ!$A23="","",IF(AND(学校マスタ!$U23&lt;&gt;"",学校マスタ!$U23&gt;=AB$3,学校マスタ!$U23&lt;AB$3+7),"◎",IF(OR(AND(学校マスタ!$H23&lt;&gt;"",学校マスタ!$H23&gt;=AB$3,学校マスタ!$H23&lt;AB$3+7),AND(学校マスタ!$J23&lt;&gt;"",学校マスタ!$J23&gt;=AB$3,学校マスタ!$J23&lt;AB$3+7),AND(学校マスタ!$L23&lt;&gt;"",学校マスタ!$L23&gt;=AB$3,学校マスタ!$L23&lt;AB$3+7)),"◆",IF(AND(学校マスタ!$O23&lt;&gt;"",学校マスタ!$P23&lt;&gt;"",学校マスタ!$O23&lt;AB$3+7,学校マスタ!$P23&gt;=AB$3),"█",IF(AND(学校マスタ!$R23&lt;&gt;"",学校マスタ!$U23&lt;&gt;"",学校マスタ!$R23&lt;AB$3+7,学校マスタ!$U23&gt;=AB$3),"▒","")))))</f>
        <v/>
      </c>
    </row>
    <row r="26">
      <c r="A26" s="19">
        <f>IF(学校マスタ!$A24="","",学校マスタ!$A24)</f>
        <v/>
      </c>
      <c r="B26" s="19">
        <f>IF(学校マスタ!$A24="","",学校マスタ!$C24)</f>
        <v/>
      </c>
      <c r="C26" s="19">
        <f>IF(学校マスタ!$A24="","",学校マスタ!$X24)</f>
        <v/>
      </c>
      <c r="D26" s="25">
        <f>IF(学校マスタ!$A24="","",学校マスタ!$R24)</f>
        <v/>
      </c>
      <c r="E26" s="26">
        <f>IF(学校マスタ!$A24="","",IF(AND(学校マスタ!$U24&lt;&gt;"",学校マスタ!$U24&gt;=E$3,学校マスタ!$U24&lt;E$3+7),"◎",IF(OR(AND(学校マスタ!$H24&lt;&gt;"",学校マスタ!$H24&gt;=E$3,学校マスタ!$H24&lt;E$3+7),AND(学校マスタ!$J24&lt;&gt;"",学校マスタ!$J24&gt;=E$3,学校マスタ!$J24&lt;E$3+7),AND(学校マスタ!$L24&lt;&gt;"",学校マスタ!$L24&gt;=E$3,学校マスタ!$L24&lt;E$3+7)),"◆",IF(AND(学校マスタ!$O24&lt;&gt;"",学校マスタ!$P24&lt;&gt;"",学校マスタ!$O24&lt;E$3+7,学校マスタ!$P24&gt;=E$3),"█",IF(AND(学校マスタ!$R24&lt;&gt;"",学校マスタ!$U24&lt;&gt;"",学校マスタ!$R24&lt;E$3+7,学校マスタ!$U24&gt;=E$3),"▒","")))))</f>
        <v/>
      </c>
      <c r="F26" s="26">
        <f>IF(学校マスタ!$A24="","",IF(AND(学校マスタ!$U24&lt;&gt;"",学校マスタ!$U24&gt;=F$3,学校マスタ!$U24&lt;F$3+7),"◎",IF(OR(AND(学校マスタ!$H24&lt;&gt;"",学校マスタ!$H24&gt;=F$3,学校マスタ!$H24&lt;F$3+7),AND(学校マスタ!$J24&lt;&gt;"",学校マスタ!$J24&gt;=F$3,学校マスタ!$J24&lt;F$3+7),AND(学校マスタ!$L24&lt;&gt;"",学校マスタ!$L24&gt;=F$3,学校マスタ!$L24&lt;F$3+7)),"◆",IF(AND(学校マスタ!$O24&lt;&gt;"",学校マスタ!$P24&lt;&gt;"",学校マスタ!$O24&lt;F$3+7,学校マスタ!$P24&gt;=F$3),"█",IF(AND(学校マスタ!$R24&lt;&gt;"",学校マスタ!$U24&lt;&gt;"",学校マスタ!$R24&lt;F$3+7,学校マスタ!$U24&gt;=F$3),"▒","")))))</f>
        <v/>
      </c>
      <c r="G26" s="26">
        <f>IF(学校マスタ!$A24="","",IF(AND(学校マスタ!$U24&lt;&gt;"",学校マスタ!$U24&gt;=G$3,学校マスタ!$U24&lt;G$3+7),"◎",IF(OR(AND(学校マスタ!$H24&lt;&gt;"",学校マスタ!$H24&gt;=G$3,学校マスタ!$H24&lt;G$3+7),AND(学校マスタ!$J24&lt;&gt;"",学校マスタ!$J24&gt;=G$3,学校マスタ!$J24&lt;G$3+7),AND(学校マスタ!$L24&lt;&gt;"",学校マスタ!$L24&gt;=G$3,学校マスタ!$L24&lt;G$3+7)),"◆",IF(AND(学校マスタ!$O24&lt;&gt;"",学校マスタ!$P24&lt;&gt;"",学校マスタ!$O24&lt;G$3+7,学校マスタ!$P24&gt;=G$3),"█",IF(AND(学校マスタ!$R24&lt;&gt;"",学校マスタ!$U24&lt;&gt;"",学校マスタ!$R24&lt;G$3+7,学校マスタ!$U24&gt;=G$3),"▒","")))))</f>
        <v/>
      </c>
      <c r="H26" s="26">
        <f>IF(学校マスタ!$A24="","",IF(AND(学校マスタ!$U24&lt;&gt;"",学校マスタ!$U24&gt;=H$3,学校マスタ!$U24&lt;H$3+7),"◎",IF(OR(AND(学校マスタ!$H24&lt;&gt;"",学校マスタ!$H24&gt;=H$3,学校マスタ!$H24&lt;H$3+7),AND(学校マスタ!$J24&lt;&gt;"",学校マスタ!$J24&gt;=H$3,学校マスタ!$J24&lt;H$3+7),AND(学校マスタ!$L24&lt;&gt;"",学校マスタ!$L24&gt;=H$3,学校マスタ!$L24&lt;H$3+7)),"◆",IF(AND(学校マスタ!$O24&lt;&gt;"",学校マスタ!$P24&lt;&gt;"",学校マスタ!$O24&lt;H$3+7,学校マスタ!$P24&gt;=H$3),"█",IF(AND(学校マスタ!$R24&lt;&gt;"",学校マスタ!$U24&lt;&gt;"",学校マスタ!$R24&lt;H$3+7,学校マスタ!$U24&gt;=H$3),"▒","")))))</f>
        <v/>
      </c>
      <c r="I26" s="26">
        <f>IF(学校マスタ!$A24="","",IF(AND(学校マスタ!$U24&lt;&gt;"",学校マスタ!$U24&gt;=I$3,学校マスタ!$U24&lt;I$3+7),"◎",IF(OR(AND(学校マスタ!$H24&lt;&gt;"",学校マスタ!$H24&gt;=I$3,学校マスタ!$H24&lt;I$3+7),AND(学校マスタ!$J24&lt;&gt;"",学校マスタ!$J24&gt;=I$3,学校マスタ!$J24&lt;I$3+7),AND(学校マスタ!$L24&lt;&gt;"",学校マスタ!$L24&gt;=I$3,学校マスタ!$L24&lt;I$3+7)),"◆",IF(AND(学校マスタ!$O24&lt;&gt;"",学校マスタ!$P24&lt;&gt;"",学校マスタ!$O24&lt;I$3+7,学校マスタ!$P24&gt;=I$3),"█",IF(AND(学校マスタ!$R24&lt;&gt;"",学校マスタ!$U24&lt;&gt;"",学校マスタ!$R24&lt;I$3+7,学校マスタ!$U24&gt;=I$3),"▒","")))))</f>
        <v/>
      </c>
      <c r="J26" s="26">
        <f>IF(学校マスタ!$A24="","",IF(AND(学校マスタ!$U24&lt;&gt;"",学校マスタ!$U24&gt;=J$3,学校マスタ!$U24&lt;J$3+7),"◎",IF(OR(AND(学校マスタ!$H24&lt;&gt;"",学校マスタ!$H24&gt;=J$3,学校マスタ!$H24&lt;J$3+7),AND(学校マスタ!$J24&lt;&gt;"",学校マスタ!$J24&gt;=J$3,学校マスタ!$J24&lt;J$3+7),AND(学校マスタ!$L24&lt;&gt;"",学校マスタ!$L24&gt;=J$3,学校マスタ!$L24&lt;J$3+7)),"◆",IF(AND(学校マスタ!$O24&lt;&gt;"",学校マスタ!$P24&lt;&gt;"",学校マスタ!$O24&lt;J$3+7,学校マスタ!$P24&gt;=J$3),"█",IF(AND(学校マスタ!$R24&lt;&gt;"",学校マスタ!$U24&lt;&gt;"",学校マスタ!$R24&lt;J$3+7,学校マスタ!$U24&gt;=J$3),"▒","")))))</f>
        <v/>
      </c>
      <c r="K26" s="26">
        <f>IF(学校マスタ!$A24="","",IF(AND(学校マスタ!$U24&lt;&gt;"",学校マスタ!$U24&gt;=K$3,学校マスタ!$U24&lt;K$3+7),"◎",IF(OR(AND(学校マスタ!$H24&lt;&gt;"",学校マスタ!$H24&gt;=K$3,学校マスタ!$H24&lt;K$3+7),AND(学校マスタ!$J24&lt;&gt;"",学校マスタ!$J24&gt;=K$3,学校マスタ!$J24&lt;K$3+7),AND(学校マスタ!$L24&lt;&gt;"",学校マスタ!$L24&gt;=K$3,学校マスタ!$L24&lt;K$3+7)),"◆",IF(AND(学校マスタ!$O24&lt;&gt;"",学校マスタ!$P24&lt;&gt;"",学校マスタ!$O24&lt;K$3+7,学校マスタ!$P24&gt;=K$3),"█",IF(AND(学校マスタ!$R24&lt;&gt;"",学校マスタ!$U24&lt;&gt;"",学校マスタ!$R24&lt;K$3+7,学校マスタ!$U24&gt;=K$3),"▒","")))))</f>
        <v/>
      </c>
      <c r="L26" s="26">
        <f>IF(学校マスタ!$A24="","",IF(AND(学校マスタ!$U24&lt;&gt;"",学校マスタ!$U24&gt;=L$3,学校マスタ!$U24&lt;L$3+7),"◎",IF(OR(AND(学校マスタ!$H24&lt;&gt;"",学校マスタ!$H24&gt;=L$3,学校マスタ!$H24&lt;L$3+7),AND(学校マスタ!$J24&lt;&gt;"",学校マスタ!$J24&gt;=L$3,学校マスタ!$J24&lt;L$3+7),AND(学校マスタ!$L24&lt;&gt;"",学校マスタ!$L24&gt;=L$3,学校マスタ!$L24&lt;L$3+7)),"◆",IF(AND(学校マスタ!$O24&lt;&gt;"",学校マスタ!$P24&lt;&gt;"",学校マスタ!$O24&lt;L$3+7,学校マスタ!$P24&gt;=L$3),"█",IF(AND(学校マスタ!$R24&lt;&gt;"",学校マスタ!$U24&lt;&gt;"",学校マスタ!$R24&lt;L$3+7,学校マスタ!$U24&gt;=L$3),"▒","")))))</f>
        <v/>
      </c>
      <c r="M26" s="26">
        <f>IF(学校マスタ!$A24="","",IF(AND(学校マスタ!$U24&lt;&gt;"",学校マスタ!$U24&gt;=M$3,学校マスタ!$U24&lt;M$3+7),"◎",IF(OR(AND(学校マスタ!$H24&lt;&gt;"",学校マスタ!$H24&gt;=M$3,学校マスタ!$H24&lt;M$3+7),AND(学校マスタ!$J24&lt;&gt;"",学校マスタ!$J24&gt;=M$3,学校マスタ!$J24&lt;M$3+7),AND(学校マスタ!$L24&lt;&gt;"",学校マスタ!$L24&gt;=M$3,学校マスタ!$L24&lt;M$3+7)),"◆",IF(AND(学校マスタ!$O24&lt;&gt;"",学校マスタ!$P24&lt;&gt;"",学校マスタ!$O24&lt;M$3+7,学校マスタ!$P24&gt;=M$3),"█",IF(AND(学校マスタ!$R24&lt;&gt;"",学校マスタ!$U24&lt;&gt;"",学校マスタ!$R24&lt;M$3+7,学校マスタ!$U24&gt;=M$3),"▒","")))))</f>
        <v/>
      </c>
      <c r="N26" s="26">
        <f>IF(学校マスタ!$A24="","",IF(AND(学校マスタ!$U24&lt;&gt;"",学校マスタ!$U24&gt;=N$3,学校マスタ!$U24&lt;N$3+7),"◎",IF(OR(AND(学校マスタ!$H24&lt;&gt;"",学校マスタ!$H24&gt;=N$3,学校マスタ!$H24&lt;N$3+7),AND(学校マスタ!$J24&lt;&gt;"",学校マスタ!$J24&gt;=N$3,学校マスタ!$J24&lt;N$3+7),AND(学校マスタ!$L24&lt;&gt;"",学校マスタ!$L24&gt;=N$3,学校マスタ!$L24&lt;N$3+7)),"◆",IF(AND(学校マスタ!$O24&lt;&gt;"",学校マスタ!$P24&lt;&gt;"",学校マスタ!$O24&lt;N$3+7,学校マスタ!$P24&gt;=N$3),"█",IF(AND(学校マスタ!$R24&lt;&gt;"",学校マスタ!$U24&lt;&gt;"",学校マスタ!$R24&lt;N$3+7,学校マスタ!$U24&gt;=N$3),"▒","")))))</f>
        <v/>
      </c>
      <c r="O26" s="26">
        <f>IF(学校マスタ!$A24="","",IF(AND(学校マスタ!$U24&lt;&gt;"",学校マスタ!$U24&gt;=O$3,学校マスタ!$U24&lt;O$3+7),"◎",IF(OR(AND(学校マスタ!$H24&lt;&gt;"",学校マスタ!$H24&gt;=O$3,学校マスタ!$H24&lt;O$3+7),AND(学校マスタ!$J24&lt;&gt;"",学校マスタ!$J24&gt;=O$3,学校マスタ!$J24&lt;O$3+7),AND(学校マスタ!$L24&lt;&gt;"",学校マスタ!$L24&gt;=O$3,学校マスタ!$L24&lt;O$3+7)),"◆",IF(AND(学校マスタ!$O24&lt;&gt;"",学校マスタ!$P24&lt;&gt;"",学校マスタ!$O24&lt;O$3+7,学校マスタ!$P24&gt;=O$3),"█",IF(AND(学校マスタ!$R24&lt;&gt;"",学校マスタ!$U24&lt;&gt;"",学校マスタ!$R24&lt;O$3+7,学校マスタ!$U24&gt;=O$3),"▒","")))))</f>
        <v/>
      </c>
      <c r="P26" s="26">
        <f>IF(学校マスタ!$A24="","",IF(AND(学校マスタ!$U24&lt;&gt;"",学校マスタ!$U24&gt;=P$3,学校マスタ!$U24&lt;P$3+7),"◎",IF(OR(AND(学校マスタ!$H24&lt;&gt;"",学校マスタ!$H24&gt;=P$3,学校マスタ!$H24&lt;P$3+7),AND(学校マスタ!$J24&lt;&gt;"",学校マスタ!$J24&gt;=P$3,学校マスタ!$J24&lt;P$3+7),AND(学校マスタ!$L24&lt;&gt;"",学校マスタ!$L24&gt;=P$3,学校マスタ!$L24&lt;P$3+7)),"◆",IF(AND(学校マスタ!$O24&lt;&gt;"",学校マスタ!$P24&lt;&gt;"",学校マスタ!$O24&lt;P$3+7,学校マスタ!$P24&gt;=P$3),"█",IF(AND(学校マスタ!$R24&lt;&gt;"",学校マスタ!$U24&lt;&gt;"",学校マスタ!$R24&lt;P$3+7,学校マスタ!$U24&gt;=P$3),"▒","")))))</f>
        <v/>
      </c>
      <c r="Q26" s="26">
        <f>IF(学校マスタ!$A24="","",IF(AND(学校マスタ!$U24&lt;&gt;"",学校マスタ!$U24&gt;=Q$3,学校マスタ!$U24&lt;Q$3+7),"◎",IF(OR(AND(学校マスタ!$H24&lt;&gt;"",学校マスタ!$H24&gt;=Q$3,学校マスタ!$H24&lt;Q$3+7),AND(学校マスタ!$J24&lt;&gt;"",学校マスタ!$J24&gt;=Q$3,学校マスタ!$J24&lt;Q$3+7),AND(学校マスタ!$L24&lt;&gt;"",学校マスタ!$L24&gt;=Q$3,学校マスタ!$L24&lt;Q$3+7)),"◆",IF(AND(学校マスタ!$O24&lt;&gt;"",学校マスタ!$P24&lt;&gt;"",学校マスタ!$O24&lt;Q$3+7,学校マスタ!$P24&gt;=Q$3),"█",IF(AND(学校マスタ!$R24&lt;&gt;"",学校マスタ!$U24&lt;&gt;"",学校マスタ!$R24&lt;Q$3+7,学校マスタ!$U24&gt;=Q$3),"▒","")))))</f>
        <v/>
      </c>
      <c r="R26" s="26">
        <f>IF(学校マスタ!$A24="","",IF(AND(学校マスタ!$U24&lt;&gt;"",学校マスタ!$U24&gt;=R$3,学校マスタ!$U24&lt;R$3+7),"◎",IF(OR(AND(学校マスタ!$H24&lt;&gt;"",学校マスタ!$H24&gt;=R$3,学校マスタ!$H24&lt;R$3+7),AND(学校マスタ!$J24&lt;&gt;"",学校マスタ!$J24&gt;=R$3,学校マスタ!$J24&lt;R$3+7),AND(学校マスタ!$L24&lt;&gt;"",学校マスタ!$L24&gt;=R$3,学校マスタ!$L24&lt;R$3+7)),"◆",IF(AND(学校マスタ!$O24&lt;&gt;"",学校マスタ!$P24&lt;&gt;"",学校マスタ!$O24&lt;R$3+7,学校マスタ!$P24&gt;=R$3),"█",IF(AND(学校マスタ!$R24&lt;&gt;"",学校マスタ!$U24&lt;&gt;"",学校マスタ!$R24&lt;R$3+7,学校マスタ!$U24&gt;=R$3),"▒","")))))</f>
        <v/>
      </c>
      <c r="S26" s="26">
        <f>IF(学校マスタ!$A24="","",IF(AND(学校マスタ!$U24&lt;&gt;"",学校マスタ!$U24&gt;=S$3,学校マスタ!$U24&lt;S$3+7),"◎",IF(OR(AND(学校マスタ!$H24&lt;&gt;"",学校マスタ!$H24&gt;=S$3,学校マスタ!$H24&lt;S$3+7),AND(学校マスタ!$J24&lt;&gt;"",学校マスタ!$J24&gt;=S$3,学校マスタ!$J24&lt;S$3+7),AND(学校マスタ!$L24&lt;&gt;"",学校マスタ!$L24&gt;=S$3,学校マスタ!$L24&lt;S$3+7)),"◆",IF(AND(学校マスタ!$O24&lt;&gt;"",学校マスタ!$P24&lt;&gt;"",学校マスタ!$O24&lt;S$3+7,学校マスタ!$P24&gt;=S$3),"█",IF(AND(学校マスタ!$R24&lt;&gt;"",学校マスタ!$U24&lt;&gt;"",学校マスタ!$R24&lt;S$3+7,学校マスタ!$U24&gt;=S$3),"▒","")))))</f>
        <v/>
      </c>
      <c r="T26" s="26">
        <f>IF(学校マスタ!$A24="","",IF(AND(学校マスタ!$U24&lt;&gt;"",学校マスタ!$U24&gt;=T$3,学校マスタ!$U24&lt;T$3+7),"◎",IF(OR(AND(学校マスタ!$H24&lt;&gt;"",学校マスタ!$H24&gt;=T$3,学校マスタ!$H24&lt;T$3+7),AND(学校マスタ!$J24&lt;&gt;"",学校マスタ!$J24&gt;=T$3,学校マスタ!$J24&lt;T$3+7),AND(学校マスタ!$L24&lt;&gt;"",学校マスタ!$L24&gt;=T$3,学校マスタ!$L24&lt;T$3+7)),"◆",IF(AND(学校マスタ!$O24&lt;&gt;"",学校マスタ!$P24&lt;&gt;"",学校マスタ!$O24&lt;T$3+7,学校マスタ!$P24&gt;=T$3),"█",IF(AND(学校マスタ!$R24&lt;&gt;"",学校マスタ!$U24&lt;&gt;"",学校マスタ!$R24&lt;T$3+7,学校マスタ!$U24&gt;=T$3),"▒","")))))</f>
        <v/>
      </c>
      <c r="U26" s="26">
        <f>IF(学校マスタ!$A24="","",IF(AND(学校マスタ!$U24&lt;&gt;"",学校マスタ!$U24&gt;=U$3,学校マスタ!$U24&lt;U$3+7),"◎",IF(OR(AND(学校マスタ!$H24&lt;&gt;"",学校マスタ!$H24&gt;=U$3,学校マスタ!$H24&lt;U$3+7),AND(学校マスタ!$J24&lt;&gt;"",学校マスタ!$J24&gt;=U$3,学校マスタ!$J24&lt;U$3+7),AND(学校マスタ!$L24&lt;&gt;"",学校マスタ!$L24&gt;=U$3,学校マスタ!$L24&lt;U$3+7)),"◆",IF(AND(学校マスタ!$O24&lt;&gt;"",学校マスタ!$P24&lt;&gt;"",学校マスタ!$O24&lt;U$3+7,学校マスタ!$P24&gt;=U$3),"█",IF(AND(学校マスタ!$R24&lt;&gt;"",学校マスタ!$U24&lt;&gt;"",学校マスタ!$R24&lt;U$3+7,学校マスタ!$U24&gt;=U$3),"▒","")))))</f>
        <v/>
      </c>
      <c r="V26" s="26">
        <f>IF(学校マスタ!$A24="","",IF(AND(学校マスタ!$U24&lt;&gt;"",学校マスタ!$U24&gt;=V$3,学校マスタ!$U24&lt;V$3+7),"◎",IF(OR(AND(学校マスタ!$H24&lt;&gt;"",学校マスタ!$H24&gt;=V$3,学校マスタ!$H24&lt;V$3+7),AND(学校マスタ!$J24&lt;&gt;"",学校マスタ!$J24&gt;=V$3,学校マスタ!$J24&lt;V$3+7),AND(学校マスタ!$L24&lt;&gt;"",学校マスタ!$L24&gt;=V$3,学校マスタ!$L24&lt;V$3+7)),"◆",IF(AND(学校マスタ!$O24&lt;&gt;"",学校マスタ!$P24&lt;&gt;"",学校マスタ!$O24&lt;V$3+7,学校マスタ!$P24&gt;=V$3),"█",IF(AND(学校マスタ!$R24&lt;&gt;"",学校マスタ!$U24&lt;&gt;"",学校マスタ!$R24&lt;V$3+7,学校マスタ!$U24&gt;=V$3),"▒","")))))</f>
        <v/>
      </c>
      <c r="W26" s="26">
        <f>IF(学校マスタ!$A24="","",IF(AND(学校マスタ!$U24&lt;&gt;"",学校マスタ!$U24&gt;=W$3,学校マスタ!$U24&lt;W$3+7),"◎",IF(OR(AND(学校マスタ!$H24&lt;&gt;"",学校マスタ!$H24&gt;=W$3,学校マスタ!$H24&lt;W$3+7),AND(学校マスタ!$J24&lt;&gt;"",学校マスタ!$J24&gt;=W$3,学校マスタ!$J24&lt;W$3+7),AND(学校マスタ!$L24&lt;&gt;"",学校マスタ!$L24&gt;=W$3,学校マスタ!$L24&lt;W$3+7)),"◆",IF(AND(学校マスタ!$O24&lt;&gt;"",学校マスタ!$P24&lt;&gt;"",学校マスタ!$O24&lt;W$3+7,学校マスタ!$P24&gt;=W$3),"█",IF(AND(学校マスタ!$R24&lt;&gt;"",学校マスタ!$U24&lt;&gt;"",学校マスタ!$R24&lt;W$3+7,学校マスタ!$U24&gt;=W$3),"▒","")))))</f>
        <v/>
      </c>
      <c r="X26" s="26">
        <f>IF(学校マスタ!$A24="","",IF(AND(学校マスタ!$U24&lt;&gt;"",学校マスタ!$U24&gt;=X$3,学校マスタ!$U24&lt;X$3+7),"◎",IF(OR(AND(学校マスタ!$H24&lt;&gt;"",学校マスタ!$H24&gt;=X$3,学校マスタ!$H24&lt;X$3+7),AND(学校マスタ!$J24&lt;&gt;"",学校マスタ!$J24&gt;=X$3,学校マスタ!$J24&lt;X$3+7),AND(学校マスタ!$L24&lt;&gt;"",学校マスタ!$L24&gt;=X$3,学校マスタ!$L24&lt;X$3+7)),"◆",IF(AND(学校マスタ!$O24&lt;&gt;"",学校マスタ!$P24&lt;&gt;"",学校マスタ!$O24&lt;X$3+7,学校マスタ!$P24&gt;=X$3),"█",IF(AND(学校マスタ!$R24&lt;&gt;"",学校マスタ!$U24&lt;&gt;"",学校マスタ!$R24&lt;X$3+7,学校マスタ!$U24&gt;=X$3),"▒","")))))</f>
        <v/>
      </c>
      <c r="Y26" s="26">
        <f>IF(学校マスタ!$A24="","",IF(AND(学校マスタ!$U24&lt;&gt;"",学校マスタ!$U24&gt;=Y$3,学校マスタ!$U24&lt;Y$3+7),"◎",IF(OR(AND(学校マスタ!$H24&lt;&gt;"",学校マスタ!$H24&gt;=Y$3,学校マスタ!$H24&lt;Y$3+7),AND(学校マスタ!$J24&lt;&gt;"",学校マスタ!$J24&gt;=Y$3,学校マスタ!$J24&lt;Y$3+7),AND(学校マスタ!$L24&lt;&gt;"",学校マスタ!$L24&gt;=Y$3,学校マスタ!$L24&lt;Y$3+7)),"◆",IF(AND(学校マスタ!$O24&lt;&gt;"",学校マスタ!$P24&lt;&gt;"",学校マスタ!$O24&lt;Y$3+7,学校マスタ!$P24&gt;=Y$3),"█",IF(AND(学校マスタ!$R24&lt;&gt;"",学校マスタ!$U24&lt;&gt;"",学校マスタ!$R24&lt;Y$3+7,学校マスタ!$U24&gt;=Y$3),"▒","")))))</f>
        <v/>
      </c>
      <c r="Z26" s="26">
        <f>IF(学校マスタ!$A24="","",IF(AND(学校マスタ!$U24&lt;&gt;"",学校マスタ!$U24&gt;=Z$3,学校マスタ!$U24&lt;Z$3+7),"◎",IF(OR(AND(学校マスタ!$H24&lt;&gt;"",学校マスタ!$H24&gt;=Z$3,学校マスタ!$H24&lt;Z$3+7),AND(学校マスタ!$J24&lt;&gt;"",学校マスタ!$J24&gt;=Z$3,学校マスタ!$J24&lt;Z$3+7),AND(学校マスタ!$L24&lt;&gt;"",学校マスタ!$L24&gt;=Z$3,学校マスタ!$L24&lt;Z$3+7)),"◆",IF(AND(学校マスタ!$O24&lt;&gt;"",学校マスタ!$P24&lt;&gt;"",学校マスタ!$O24&lt;Z$3+7,学校マスタ!$P24&gt;=Z$3),"█",IF(AND(学校マスタ!$R24&lt;&gt;"",学校マスタ!$U24&lt;&gt;"",学校マスタ!$R24&lt;Z$3+7,学校マスタ!$U24&gt;=Z$3),"▒","")))))</f>
        <v/>
      </c>
      <c r="AA26" s="26">
        <f>IF(学校マスタ!$A24="","",IF(AND(学校マスタ!$U24&lt;&gt;"",学校マスタ!$U24&gt;=AA$3,学校マスタ!$U24&lt;AA$3+7),"◎",IF(OR(AND(学校マスタ!$H24&lt;&gt;"",学校マスタ!$H24&gt;=AA$3,学校マスタ!$H24&lt;AA$3+7),AND(学校マスタ!$J24&lt;&gt;"",学校マスタ!$J24&gt;=AA$3,学校マスタ!$J24&lt;AA$3+7),AND(学校マスタ!$L24&lt;&gt;"",学校マスタ!$L24&gt;=AA$3,学校マスタ!$L24&lt;AA$3+7)),"◆",IF(AND(学校マスタ!$O24&lt;&gt;"",学校マスタ!$P24&lt;&gt;"",学校マスタ!$O24&lt;AA$3+7,学校マスタ!$P24&gt;=AA$3),"█",IF(AND(学校マスタ!$R24&lt;&gt;"",学校マスタ!$U24&lt;&gt;"",学校マスタ!$R24&lt;AA$3+7,学校マスタ!$U24&gt;=AA$3),"▒","")))))</f>
        <v/>
      </c>
      <c r="AB26" s="26">
        <f>IF(学校マスタ!$A24="","",IF(AND(学校マスタ!$U24&lt;&gt;"",学校マスタ!$U24&gt;=AB$3,学校マスタ!$U24&lt;AB$3+7),"◎",IF(OR(AND(学校マスタ!$H24&lt;&gt;"",学校マスタ!$H24&gt;=AB$3,学校マスタ!$H24&lt;AB$3+7),AND(学校マスタ!$J24&lt;&gt;"",学校マスタ!$J24&gt;=AB$3,学校マスタ!$J24&lt;AB$3+7),AND(学校マスタ!$L24&lt;&gt;"",学校マスタ!$L24&gt;=AB$3,学校マスタ!$L24&lt;AB$3+7)),"◆",IF(AND(学校マスタ!$O24&lt;&gt;"",学校マスタ!$P24&lt;&gt;"",学校マスタ!$O24&lt;AB$3+7,学校マスタ!$P24&gt;=AB$3),"█",IF(AND(学校マスタ!$R24&lt;&gt;"",学校マスタ!$U24&lt;&gt;"",学校マスタ!$R24&lt;AB$3+7,学校マスタ!$U24&gt;=AB$3),"▒","")))))</f>
        <v/>
      </c>
    </row>
    <row r="27">
      <c r="A27" s="19">
        <f>IF(学校マスタ!$A25="","",学校マスタ!$A25)</f>
        <v/>
      </c>
      <c r="B27" s="19">
        <f>IF(学校マスタ!$A25="","",学校マスタ!$C25)</f>
        <v/>
      </c>
      <c r="C27" s="19">
        <f>IF(学校マスタ!$A25="","",学校マスタ!$X25)</f>
        <v/>
      </c>
      <c r="D27" s="25">
        <f>IF(学校マスタ!$A25="","",学校マスタ!$R25)</f>
        <v/>
      </c>
      <c r="E27" s="26">
        <f>IF(学校マスタ!$A25="","",IF(AND(学校マスタ!$U25&lt;&gt;"",学校マスタ!$U25&gt;=E$3,学校マスタ!$U25&lt;E$3+7),"◎",IF(OR(AND(学校マスタ!$H25&lt;&gt;"",学校マスタ!$H25&gt;=E$3,学校マスタ!$H25&lt;E$3+7),AND(学校マスタ!$J25&lt;&gt;"",学校マスタ!$J25&gt;=E$3,学校マスタ!$J25&lt;E$3+7),AND(学校マスタ!$L25&lt;&gt;"",学校マスタ!$L25&gt;=E$3,学校マスタ!$L25&lt;E$3+7)),"◆",IF(AND(学校マスタ!$O25&lt;&gt;"",学校マスタ!$P25&lt;&gt;"",学校マスタ!$O25&lt;E$3+7,学校マスタ!$P25&gt;=E$3),"█",IF(AND(学校マスタ!$R25&lt;&gt;"",学校マスタ!$U25&lt;&gt;"",学校マスタ!$R25&lt;E$3+7,学校マスタ!$U25&gt;=E$3),"▒","")))))</f>
        <v/>
      </c>
      <c r="F27" s="26">
        <f>IF(学校マスタ!$A25="","",IF(AND(学校マスタ!$U25&lt;&gt;"",学校マスタ!$U25&gt;=F$3,学校マスタ!$U25&lt;F$3+7),"◎",IF(OR(AND(学校マスタ!$H25&lt;&gt;"",学校マスタ!$H25&gt;=F$3,学校マスタ!$H25&lt;F$3+7),AND(学校マスタ!$J25&lt;&gt;"",学校マスタ!$J25&gt;=F$3,学校マスタ!$J25&lt;F$3+7),AND(学校マスタ!$L25&lt;&gt;"",学校マスタ!$L25&gt;=F$3,学校マスタ!$L25&lt;F$3+7)),"◆",IF(AND(学校マスタ!$O25&lt;&gt;"",学校マスタ!$P25&lt;&gt;"",学校マスタ!$O25&lt;F$3+7,学校マスタ!$P25&gt;=F$3),"█",IF(AND(学校マスタ!$R25&lt;&gt;"",学校マスタ!$U25&lt;&gt;"",学校マスタ!$R25&lt;F$3+7,学校マスタ!$U25&gt;=F$3),"▒","")))))</f>
        <v/>
      </c>
      <c r="G27" s="26">
        <f>IF(学校マスタ!$A25="","",IF(AND(学校マスタ!$U25&lt;&gt;"",学校マスタ!$U25&gt;=G$3,学校マスタ!$U25&lt;G$3+7),"◎",IF(OR(AND(学校マスタ!$H25&lt;&gt;"",学校マスタ!$H25&gt;=G$3,学校マスタ!$H25&lt;G$3+7),AND(学校マスタ!$J25&lt;&gt;"",学校マスタ!$J25&gt;=G$3,学校マスタ!$J25&lt;G$3+7),AND(学校マスタ!$L25&lt;&gt;"",学校マスタ!$L25&gt;=G$3,学校マスタ!$L25&lt;G$3+7)),"◆",IF(AND(学校マスタ!$O25&lt;&gt;"",学校マスタ!$P25&lt;&gt;"",学校マスタ!$O25&lt;G$3+7,学校マスタ!$P25&gt;=G$3),"█",IF(AND(学校マスタ!$R25&lt;&gt;"",学校マスタ!$U25&lt;&gt;"",学校マスタ!$R25&lt;G$3+7,学校マスタ!$U25&gt;=G$3),"▒","")))))</f>
        <v/>
      </c>
      <c r="H27" s="26">
        <f>IF(学校マスタ!$A25="","",IF(AND(学校マスタ!$U25&lt;&gt;"",学校マスタ!$U25&gt;=H$3,学校マスタ!$U25&lt;H$3+7),"◎",IF(OR(AND(学校マスタ!$H25&lt;&gt;"",学校マスタ!$H25&gt;=H$3,学校マスタ!$H25&lt;H$3+7),AND(学校マスタ!$J25&lt;&gt;"",学校マスタ!$J25&gt;=H$3,学校マスタ!$J25&lt;H$3+7),AND(学校マスタ!$L25&lt;&gt;"",学校マスタ!$L25&gt;=H$3,学校マスタ!$L25&lt;H$3+7)),"◆",IF(AND(学校マスタ!$O25&lt;&gt;"",学校マスタ!$P25&lt;&gt;"",学校マスタ!$O25&lt;H$3+7,学校マスタ!$P25&gt;=H$3),"█",IF(AND(学校マスタ!$R25&lt;&gt;"",学校マスタ!$U25&lt;&gt;"",学校マスタ!$R25&lt;H$3+7,学校マスタ!$U25&gt;=H$3),"▒","")))))</f>
        <v/>
      </c>
      <c r="I27" s="26">
        <f>IF(学校マスタ!$A25="","",IF(AND(学校マスタ!$U25&lt;&gt;"",学校マスタ!$U25&gt;=I$3,学校マスタ!$U25&lt;I$3+7),"◎",IF(OR(AND(学校マスタ!$H25&lt;&gt;"",学校マスタ!$H25&gt;=I$3,学校マスタ!$H25&lt;I$3+7),AND(学校マスタ!$J25&lt;&gt;"",学校マスタ!$J25&gt;=I$3,学校マスタ!$J25&lt;I$3+7),AND(学校マスタ!$L25&lt;&gt;"",学校マスタ!$L25&gt;=I$3,学校マスタ!$L25&lt;I$3+7)),"◆",IF(AND(学校マスタ!$O25&lt;&gt;"",学校マスタ!$P25&lt;&gt;"",学校マスタ!$O25&lt;I$3+7,学校マスタ!$P25&gt;=I$3),"█",IF(AND(学校マスタ!$R25&lt;&gt;"",学校マスタ!$U25&lt;&gt;"",学校マスタ!$R25&lt;I$3+7,学校マスタ!$U25&gt;=I$3),"▒","")))))</f>
        <v/>
      </c>
      <c r="J27" s="26">
        <f>IF(学校マスタ!$A25="","",IF(AND(学校マスタ!$U25&lt;&gt;"",学校マスタ!$U25&gt;=J$3,学校マスタ!$U25&lt;J$3+7),"◎",IF(OR(AND(学校マスタ!$H25&lt;&gt;"",学校マスタ!$H25&gt;=J$3,学校マスタ!$H25&lt;J$3+7),AND(学校マスタ!$J25&lt;&gt;"",学校マスタ!$J25&gt;=J$3,学校マスタ!$J25&lt;J$3+7),AND(学校マスタ!$L25&lt;&gt;"",学校マスタ!$L25&gt;=J$3,学校マスタ!$L25&lt;J$3+7)),"◆",IF(AND(学校マスタ!$O25&lt;&gt;"",学校マスタ!$P25&lt;&gt;"",学校マスタ!$O25&lt;J$3+7,学校マスタ!$P25&gt;=J$3),"█",IF(AND(学校マスタ!$R25&lt;&gt;"",学校マスタ!$U25&lt;&gt;"",学校マスタ!$R25&lt;J$3+7,学校マスタ!$U25&gt;=J$3),"▒","")))))</f>
        <v/>
      </c>
      <c r="K27" s="26">
        <f>IF(学校マスタ!$A25="","",IF(AND(学校マスタ!$U25&lt;&gt;"",学校マスタ!$U25&gt;=K$3,学校マスタ!$U25&lt;K$3+7),"◎",IF(OR(AND(学校マスタ!$H25&lt;&gt;"",学校マスタ!$H25&gt;=K$3,学校マスタ!$H25&lt;K$3+7),AND(学校マスタ!$J25&lt;&gt;"",学校マスタ!$J25&gt;=K$3,学校マスタ!$J25&lt;K$3+7),AND(学校マスタ!$L25&lt;&gt;"",学校マスタ!$L25&gt;=K$3,学校マスタ!$L25&lt;K$3+7)),"◆",IF(AND(学校マスタ!$O25&lt;&gt;"",学校マスタ!$P25&lt;&gt;"",学校マスタ!$O25&lt;K$3+7,学校マスタ!$P25&gt;=K$3),"█",IF(AND(学校マスタ!$R25&lt;&gt;"",学校マスタ!$U25&lt;&gt;"",学校マスタ!$R25&lt;K$3+7,学校マスタ!$U25&gt;=K$3),"▒","")))))</f>
        <v/>
      </c>
      <c r="L27" s="26">
        <f>IF(学校マスタ!$A25="","",IF(AND(学校マスタ!$U25&lt;&gt;"",学校マスタ!$U25&gt;=L$3,学校マスタ!$U25&lt;L$3+7),"◎",IF(OR(AND(学校マスタ!$H25&lt;&gt;"",学校マスタ!$H25&gt;=L$3,学校マスタ!$H25&lt;L$3+7),AND(学校マスタ!$J25&lt;&gt;"",学校マスタ!$J25&gt;=L$3,学校マスタ!$J25&lt;L$3+7),AND(学校マスタ!$L25&lt;&gt;"",学校マスタ!$L25&gt;=L$3,学校マスタ!$L25&lt;L$3+7)),"◆",IF(AND(学校マスタ!$O25&lt;&gt;"",学校マスタ!$P25&lt;&gt;"",学校マスタ!$O25&lt;L$3+7,学校マスタ!$P25&gt;=L$3),"█",IF(AND(学校マスタ!$R25&lt;&gt;"",学校マスタ!$U25&lt;&gt;"",学校マスタ!$R25&lt;L$3+7,学校マスタ!$U25&gt;=L$3),"▒","")))))</f>
        <v/>
      </c>
      <c r="M27" s="26">
        <f>IF(学校マスタ!$A25="","",IF(AND(学校マスタ!$U25&lt;&gt;"",学校マスタ!$U25&gt;=M$3,学校マスタ!$U25&lt;M$3+7),"◎",IF(OR(AND(学校マスタ!$H25&lt;&gt;"",学校マスタ!$H25&gt;=M$3,学校マスタ!$H25&lt;M$3+7),AND(学校マスタ!$J25&lt;&gt;"",学校マスタ!$J25&gt;=M$3,学校マスタ!$J25&lt;M$3+7),AND(学校マスタ!$L25&lt;&gt;"",学校マスタ!$L25&gt;=M$3,学校マスタ!$L25&lt;M$3+7)),"◆",IF(AND(学校マスタ!$O25&lt;&gt;"",学校マスタ!$P25&lt;&gt;"",学校マスタ!$O25&lt;M$3+7,学校マスタ!$P25&gt;=M$3),"█",IF(AND(学校マスタ!$R25&lt;&gt;"",学校マスタ!$U25&lt;&gt;"",学校マスタ!$R25&lt;M$3+7,学校マスタ!$U25&gt;=M$3),"▒","")))))</f>
        <v/>
      </c>
      <c r="N27" s="26">
        <f>IF(学校マスタ!$A25="","",IF(AND(学校マスタ!$U25&lt;&gt;"",学校マスタ!$U25&gt;=N$3,学校マスタ!$U25&lt;N$3+7),"◎",IF(OR(AND(学校マスタ!$H25&lt;&gt;"",学校マスタ!$H25&gt;=N$3,学校マスタ!$H25&lt;N$3+7),AND(学校マスタ!$J25&lt;&gt;"",学校マスタ!$J25&gt;=N$3,学校マスタ!$J25&lt;N$3+7),AND(学校マスタ!$L25&lt;&gt;"",学校マスタ!$L25&gt;=N$3,学校マスタ!$L25&lt;N$3+7)),"◆",IF(AND(学校マスタ!$O25&lt;&gt;"",学校マスタ!$P25&lt;&gt;"",学校マスタ!$O25&lt;N$3+7,学校マスタ!$P25&gt;=N$3),"█",IF(AND(学校マスタ!$R25&lt;&gt;"",学校マスタ!$U25&lt;&gt;"",学校マスタ!$R25&lt;N$3+7,学校マスタ!$U25&gt;=N$3),"▒","")))))</f>
        <v/>
      </c>
      <c r="O27" s="26">
        <f>IF(学校マスタ!$A25="","",IF(AND(学校マスタ!$U25&lt;&gt;"",学校マスタ!$U25&gt;=O$3,学校マスタ!$U25&lt;O$3+7),"◎",IF(OR(AND(学校マスタ!$H25&lt;&gt;"",学校マスタ!$H25&gt;=O$3,学校マスタ!$H25&lt;O$3+7),AND(学校マスタ!$J25&lt;&gt;"",学校マスタ!$J25&gt;=O$3,学校マスタ!$J25&lt;O$3+7),AND(学校マスタ!$L25&lt;&gt;"",学校マスタ!$L25&gt;=O$3,学校マスタ!$L25&lt;O$3+7)),"◆",IF(AND(学校マスタ!$O25&lt;&gt;"",学校マスタ!$P25&lt;&gt;"",学校マスタ!$O25&lt;O$3+7,学校マスタ!$P25&gt;=O$3),"█",IF(AND(学校マスタ!$R25&lt;&gt;"",学校マスタ!$U25&lt;&gt;"",学校マスタ!$R25&lt;O$3+7,学校マスタ!$U25&gt;=O$3),"▒","")))))</f>
        <v/>
      </c>
      <c r="P27" s="26">
        <f>IF(学校マスタ!$A25="","",IF(AND(学校マスタ!$U25&lt;&gt;"",学校マスタ!$U25&gt;=P$3,学校マスタ!$U25&lt;P$3+7),"◎",IF(OR(AND(学校マスタ!$H25&lt;&gt;"",学校マスタ!$H25&gt;=P$3,学校マスタ!$H25&lt;P$3+7),AND(学校マスタ!$J25&lt;&gt;"",学校マスタ!$J25&gt;=P$3,学校マスタ!$J25&lt;P$3+7),AND(学校マスタ!$L25&lt;&gt;"",学校マスタ!$L25&gt;=P$3,学校マスタ!$L25&lt;P$3+7)),"◆",IF(AND(学校マスタ!$O25&lt;&gt;"",学校マスタ!$P25&lt;&gt;"",学校マスタ!$O25&lt;P$3+7,学校マスタ!$P25&gt;=P$3),"█",IF(AND(学校マスタ!$R25&lt;&gt;"",学校マスタ!$U25&lt;&gt;"",学校マスタ!$R25&lt;P$3+7,学校マスタ!$U25&gt;=P$3),"▒","")))))</f>
        <v/>
      </c>
      <c r="Q27" s="26">
        <f>IF(学校マスタ!$A25="","",IF(AND(学校マスタ!$U25&lt;&gt;"",学校マスタ!$U25&gt;=Q$3,学校マスタ!$U25&lt;Q$3+7),"◎",IF(OR(AND(学校マスタ!$H25&lt;&gt;"",学校マスタ!$H25&gt;=Q$3,学校マスタ!$H25&lt;Q$3+7),AND(学校マスタ!$J25&lt;&gt;"",学校マスタ!$J25&gt;=Q$3,学校マスタ!$J25&lt;Q$3+7),AND(学校マスタ!$L25&lt;&gt;"",学校マスタ!$L25&gt;=Q$3,学校マスタ!$L25&lt;Q$3+7)),"◆",IF(AND(学校マスタ!$O25&lt;&gt;"",学校マスタ!$P25&lt;&gt;"",学校マスタ!$O25&lt;Q$3+7,学校マスタ!$P25&gt;=Q$3),"█",IF(AND(学校マスタ!$R25&lt;&gt;"",学校マスタ!$U25&lt;&gt;"",学校マスタ!$R25&lt;Q$3+7,学校マスタ!$U25&gt;=Q$3),"▒","")))))</f>
        <v/>
      </c>
      <c r="R27" s="26">
        <f>IF(学校マスタ!$A25="","",IF(AND(学校マスタ!$U25&lt;&gt;"",学校マスタ!$U25&gt;=R$3,学校マスタ!$U25&lt;R$3+7),"◎",IF(OR(AND(学校マスタ!$H25&lt;&gt;"",学校マスタ!$H25&gt;=R$3,学校マスタ!$H25&lt;R$3+7),AND(学校マスタ!$J25&lt;&gt;"",学校マスタ!$J25&gt;=R$3,学校マスタ!$J25&lt;R$3+7),AND(学校マスタ!$L25&lt;&gt;"",学校マスタ!$L25&gt;=R$3,学校マスタ!$L25&lt;R$3+7)),"◆",IF(AND(学校マスタ!$O25&lt;&gt;"",学校マスタ!$P25&lt;&gt;"",学校マスタ!$O25&lt;R$3+7,学校マスタ!$P25&gt;=R$3),"█",IF(AND(学校マスタ!$R25&lt;&gt;"",学校マスタ!$U25&lt;&gt;"",学校マスタ!$R25&lt;R$3+7,学校マスタ!$U25&gt;=R$3),"▒","")))))</f>
        <v/>
      </c>
      <c r="S27" s="26">
        <f>IF(学校マスタ!$A25="","",IF(AND(学校マスタ!$U25&lt;&gt;"",学校マスタ!$U25&gt;=S$3,学校マスタ!$U25&lt;S$3+7),"◎",IF(OR(AND(学校マスタ!$H25&lt;&gt;"",学校マスタ!$H25&gt;=S$3,学校マスタ!$H25&lt;S$3+7),AND(学校マスタ!$J25&lt;&gt;"",学校マスタ!$J25&gt;=S$3,学校マスタ!$J25&lt;S$3+7),AND(学校マスタ!$L25&lt;&gt;"",学校マスタ!$L25&gt;=S$3,学校マスタ!$L25&lt;S$3+7)),"◆",IF(AND(学校マスタ!$O25&lt;&gt;"",学校マスタ!$P25&lt;&gt;"",学校マスタ!$O25&lt;S$3+7,学校マスタ!$P25&gt;=S$3),"█",IF(AND(学校マスタ!$R25&lt;&gt;"",学校マスタ!$U25&lt;&gt;"",学校マスタ!$R25&lt;S$3+7,学校マスタ!$U25&gt;=S$3),"▒","")))))</f>
        <v/>
      </c>
      <c r="T27" s="26">
        <f>IF(学校マスタ!$A25="","",IF(AND(学校マスタ!$U25&lt;&gt;"",学校マスタ!$U25&gt;=T$3,学校マスタ!$U25&lt;T$3+7),"◎",IF(OR(AND(学校マスタ!$H25&lt;&gt;"",学校マスタ!$H25&gt;=T$3,学校マスタ!$H25&lt;T$3+7),AND(学校マスタ!$J25&lt;&gt;"",学校マスタ!$J25&gt;=T$3,学校マスタ!$J25&lt;T$3+7),AND(学校マスタ!$L25&lt;&gt;"",学校マスタ!$L25&gt;=T$3,学校マスタ!$L25&lt;T$3+7)),"◆",IF(AND(学校マスタ!$O25&lt;&gt;"",学校マスタ!$P25&lt;&gt;"",学校マスタ!$O25&lt;T$3+7,学校マスタ!$P25&gt;=T$3),"█",IF(AND(学校マスタ!$R25&lt;&gt;"",学校マスタ!$U25&lt;&gt;"",学校マスタ!$R25&lt;T$3+7,学校マスタ!$U25&gt;=T$3),"▒","")))))</f>
        <v/>
      </c>
      <c r="U27" s="26">
        <f>IF(学校マスタ!$A25="","",IF(AND(学校マスタ!$U25&lt;&gt;"",学校マスタ!$U25&gt;=U$3,学校マスタ!$U25&lt;U$3+7),"◎",IF(OR(AND(学校マスタ!$H25&lt;&gt;"",学校マスタ!$H25&gt;=U$3,学校マスタ!$H25&lt;U$3+7),AND(学校マスタ!$J25&lt;&gt;"",学校マスタ!$J25&gt;=U$3,学校マスタ!$J25&lt;U$3+7),AND(学校マスタ!$L25&lt;&gt;"",学校マスタ!$L25&gt;=U$3,学校マスタ!$L25&lt;U$3+7)),"◆",IF(AND(学校マスタ!$O25&lt;&gt;"",学校マスタ!$P25&lt;&gt;"",学校マスタ!$O25&lt;U$3+7,学校マスタ!$P25&gt;=U$3),"█",IF(AND(学校マスタ!$R25&lt;&gt;"",学校マスタ!$U25&lt;&gt;"",学校マスタ!$R25&lt;U$3+7,学校マスタ!$U25&gt;=U$3),"▒","")))))</f>
        <v/>
      </c>
      <c r="V27" s="26">
        <f>IF(学校マスタ!$A25="","",IF(AND(学校マスタ!$U25&lt;&gt;"",学校マスタ!$U25&gt;=V$3,学校マスタ!$U25&lt;V$3+7),"◎",IF(OR(AND(学校マスタ!$H25&lt;&gt;"",学校マスタ!$H25&gt;=V$3,学校マスタ!$H25&lt;V$3+7),AND(学校マスタ!$J25&lt;&gt;"",学校マスタ!$J25&gt;=V$3,学校マスタ!$J25&lt;V$3+7),AND(学校マスタ!$L25&lt;&gt;"",学校マスタ!$L25&gt;=V$3,学校マスタ!$L25&lt;V$3+7)),"◆",IF(AND(学校マスタ!$O25&lt;&gt;"",学校マスタ!$P25&lt;&gt;"",学校マスタ!$O25&lt;V$3+7,学校マスタ!$P25&gt;=V$3),"█",IF(AND(学校マスタ!$R25&lt;&gt;"",学校マスタ!$U25&lt;&gt;"",学校マスタ!$R25&lt;V$3+7,学校マスタ!$U25&gt;=V$3),"▒","")))))</f>
        <v/>
      </c>
      <c r="W27" s="26">
        <f>IF(学校マスタ!$A25="","",IF(AND(学校マスタ!$U25&lt;&gt;"",学校マスタ!$U25&gt;=W$3,学校マスタ!$U25&lt;W$3+7),"◎",IF(OR(AND(学校マスタ!$H25&lt;&gt;"",学校マスタ!$H25&gt;=W$3,学校マスタ!$H25&lt;W$3+7),AND(学校マスタ!$J25&lt;&gt;"",学校マスタ!$J25&gt;=W$3,学校マスタ!$J25&lt;W$3+7),AND(学校マスタ!$L25&lt;&gt;"",学校マスタ!$L25&gt;=W$3,学校マスタ!$L25&lt;W$3+7)),"◆",IF(AND(学校マスタ!$O25&lt;&gt;"",学校マスタ!$P25&lt;&gt;"",学校マスタ!$O25&lt;W$3+7,学校マスタ!$P25&gt;=W$3),"█",IF(AND(学校マスタ!$R25&lt;&gt;"",学校マスタ!$U25&lt;&gt;"",学校マスタ!$R25&lt;W$3+7,学校マスタ!$U25&gt;=W$3),"▒","")))))</f>
        <v/>
      </c>
      <c r="X27" s="26">
        <f>IF(学校マスタ!$A25="","",IF(AND(学校マスタ!$U25&lt;&gt;"",学校マスタ!$U25&gt;=X$3,学校マスタ!$U25&lt;X$3+7),"◎",IF(OR(AND(学校マスタ!$H25&lt;&gt;"",学校マスタ!$H25&gt;=X$3,学校マスタ!$H25&lt;X$3+7),AND(学校マスタ!$J25&lt;&gt;"",学校マスタ!$J25&gt;=X$3,学校マスタ!$J25&lt;X$3+7),AND(学校マスタ!$L25&lt;&gt;"",学校マスタ!$L25&gt;=X$3,学校マスタ!$L25&lt;X$3+7)),"◆",IF(AND(学校マスタ!$O25&lt;&gt;"",学校マスタ!$P25&lt;&gt;"",学校マスタ!$O25&lt;X$3+7,学校マスタ!$P25&gt;=X$3),"█",IF(AND(学校マスタ!$R25&lt;&gt;"",学校マスタ!$U25&lt;&gt;"",学校マスタ!$R25&lt;X$3+7,学校マスタ!$U25&gt;=X$3),"▒","")))))</f>
        <v/>
      </c>
      <c r="Y27" s="26">
        <f>IF(学校マスタ!$A25="","",IF(AND(学校マスタ!$U25&lt;&gt;"",学校マスタ!$U25&gt;=Y$3,学校マスタ!$U25&lt;Y$3+7),"◎",IF(OR(AND(学校マスタ!$H25&lt;&gt;"",学校マスタ!$H25&gt;=Y$3,学校マスタ!$H25&lt;Y$3+7),AND(学校マスタ!$J25&lt;&gt;"",学校マスタ!$J25&gt;=Y$3,学校マスタ!$J25&lt;Y$3+7),AND(学校マスタ!$L25&lt;&gt;"",学校マスタ!$L25&gt;=Y$3,学校マスタ!$L25&lt;Y$3+7)),"◆",IF(AND(学校マスタ!$O25&lt;&gt;"",学校マスタ!$P25&lt;&gt;"",学校マスタ!$O25&lt;Y$3+7,学校マスタ!$P25&gt;=Y$3),"█",IF(AND(学校マスタ!$R25&lt;&gt;"",学校マスタ!$U25&lt;&gt;"",学校マスタ!$R25&lt;Y$3+7,学校マスタ!$U25&gt;=Y$3),"▒","")))))</f>
        <v/>
      </c>
      <c r="Z27" s="26">
        <f>IF(学校マスタ!$A25="","",IF(AND(学校マスタ!$U25&lt;&gt;"",学校マスタ!$U25&gt;=Z$3,学校マスタ!$U25&lt;Z$3+7),"◎",IF(OR(AND(学校マスタ!$H25&lt;&gt;"",学校マスタ!$H25&gt;=Z$3,学校マスタ!$H25&lt;Z$3+7),AND(学校マスタ!$J25&lt;&gt;"",学校マスタ!$J25&gt;=Z$3,学校マスタ!$J25&lt;Z$3+7),AND(学校マスタ!$L25&lt;&gt;"",学校マスタ!$L25&gt;=Z$3,学校マスタ!$L25&lt;Z$3+7)),"◆",IF(AND(学校マスタ!$O25&lt;&gt;"",学校マスタ!$P25&lt;&gt;"",学校マスタ!$O25&lt;Z$3+7,学校マスタ!$P25&gt;=Z$3),"█",IF(AND(学校マスタ!$R25&lt;&gt;"",学校マスタ!$U25&lt;&gt;"",学校マスタ!$R25&lt;Z$3+7,学校マスタ!$U25&gt;=Z$3),"▒","")))))</f>
        <v/>
      </c>
      <c r="AA27" s="26">
        <f>IF(学校マスタ!$A25="","",IF(AND(学校マスタ!$U25&lt;&gt;"",学校マスタ!$U25&gt;=AA$3,学校マスタ!$U25&lt;AA$3+7),"◎",IF(OR(AND(学校マスタ!$H25&lt;&gt;"",学校マスタ!$H25&gt;=AA$3,学校マスタ!$H25&lt;AA$3+7),AND(学校マスタ!$J25&lt;&gt;"",学校マスタ!$J25&gt;=AA$3,学校マスタ!$J25&lt;AA$3+7),AND(学校マスタ!$L25&lt;&gt;"",学校マスタ!$L25&gt;=AA$3,学校マスタ!$L25&lt;AA$3+7)),"◆",IF(AND(学校マスタ!$O25&lt;&gt;"",学校マスタ!$P25&lt;&gt;"",学校マスタ!$O25&lt;AA$3+7,学校マスタ!$P25&gt;=AA$3),"█",IF(AND(学校マスタ!$R25&lt;&gt;"",学校マスタ!$U25&lt;&gt;"",学校マスタ!$R25&lt;AA$3+7,学校マスタ!$U25&gt;=AA$3),"▒","")))))</f>
        <v/>
      </c>
      <c r="AB27" s="26">
        <f>IF(学校マスタ!$A25="","",IF(AND(学校マスタ!$U25&lt;&gt;"",学校マスタ!$U25&gt;=AB$3,学校マスタ!$U25&lt;AB$3+7),"◎",IF(OR(AND(学校マスタ!$H25&lt;&gt;"",学校マスタ!$H25&gt;=AB$3,学校マスタ!$H25&lt;AB$3+7),AND(学校マスタ!$J25&lt;&gt;"",学校マスタ!$J25&gt;=AB$3,学校マスタ!$J25&lt;AB$3+7),AND(学校マスタ!$L25&lt;&gt;"",学校マスタ!$L25&gt;=AB$3,学校マスタ!$L25&lt;AB$3+7)),"◆",IF(AND(学校マスタ!$O25&lt;&gt;"",学校マスタ!$P25&lt;&gt;"",学校マスタ!$O25&lt;AB$3+7,学校マスタ!$P25&gt;=AB$3),"█",IF(AND(学校マスタ!$R25&lt;&gt;"",学校マスタ!$U25&lt;&gt;"",学校マスタ!$R25&lt;AB$3+7,学校マスタ!$U25&gt;=AB$3),"▒","")))))</f>
        <v/>
      </c>
    </row>
    <row r="28">
      <c r="A28" s="19">
        <f>IF(学校マスタ!$A26="","",学校マスタ!$A26)</f>
        <v/>
      </c>
      <c r="B28" s="19">
        <f>IF(学校マスタ!$A26="","",学校マスタ!$C26)</f>
        <v/>
      </c>
      <c r="C28" s="19">
        <f>IF(学校マスタ!$A26="","",学校マスタ!$X26)</f>
        <v/>
      </c>
      <c r="D28" s="25">
        <f>IF(学校マスタ!$A26="","",学校マスタ!$R26)</f>
        <v/>
      </c>
      <c r="E28" s="26">
        <f>IF(学校マスタ!$A26="","",IF(AND(学校マスタ!$U26&lt;&gt;"",学校マスタ!$U26&gt;=E$3,学校マスタ!$U26&lt;E$3+7),"◎",IF(OR(AND(学校マスタ!$H26&lt;&gt;"",学校マスタ!$H26&gt;=E$3,学校マスタ!$H26&lt;E$3+7),AND(学校マスタ!$J26&lt;&gt;"",学校マスタ!$J26&gt;=E$3,学校マスタ!$J26&lt;E$3+7),AND(学校マスタ!$L26&lt;&gt;"",学校マスタ!$L26&gt;=E$3,学校マスタ!$L26&lt;E$3+7)),"◆",IF(AND(学校マスタ!$O26&lt;&gt;"",学校マスタ!$P26&lt;&gt;"",学校マスタ!$O26&lt;E$3+7,学校マスタ!$P26&gt;=E$3),"█",IF(AND(学校マスタ!$R26&lt;&gt;"",学校マスタ!$U26&lt;&gt;"",学校マスタ!$R26&lt;E$3+7,学校マスタ!$U26&gt;=E$3),"▒","")))))</f>
        <v/>
      </c>
      <c r="F28" s="26">
        <f>IF(学校マスタ!$A26="","",IF(AND(学校マスタ!$U26&lt;&gt;"",学校マスタ!$U26&gt;=F$3,学校マスタ!$U26&lt;F$3+7),"◎",IF(OR(AND(学校マスタ!$H26&lt;&gt;"",学校マスタ!$H26&gt;=F$3,学校マスタ!$H26&lt;F$3+7),AND(学校マスタ!$J26&lt;&gt;"",学校マスタ!$J26&gt;=F$3,学校マスタ!$J26&lt;F$3+7),AND(学校マスタ!$L26&lt;&gt;"",学校マスタ!$L26&gt;=F$3,学校マスタ!$L26&lt;F$3+7)),"◆",IF(AND(学校マスタ!$O26&lt;&gt;"",学校マスタ!$P26&lt;&gt;"",学校マスタ!$O26&lt;F$3+7,学校マスタ!$P26&gt;=F$3),"█",IF(AND(学校マスタ!$R26&lt;&gt;"",学校マスタ!$U26&lt;&gt;"",学校マスタ!$R26&lt;F$3+7,学校マスタ!$U26&gt;=F$3),"▒","")))))</f>
        <v/>
      </c>
      <c r="G28" s="26">
        <f>IF(学校マスタ!$A26="","",IF(AND(学校マスタ!$U26&lt;&gt;"",学校マスタ!$U26&gt;=G$3,学校マスタ!$U26&lt;G$3+7),"◎",IF(OR(AND(学校マスタ!$H26&lt;&gt;"",学校マスタ!$H26&gt;=G$3,学校マスタ!$H26&lt;G$3+7),AND(学校マスタ!$J26&lt;&gt;"",学校マスタ!$J26&gt;=G$3,学校マスタ!$J26&lt;G$3+7),AND(学校マスタ!$L26&lt;&gt;"",学校マスタ!$L26&gt;=G$3,学校マスタ!$L26&lt;G$3+7)),"◆",IF(AND(学校マスタ!$O26&lt;&gt;"",学校マスタ!$P26&lt;&gt;"",学校マスタ!$O26&lt;G$3+7,学校マスタ!$P26&gt;=G$3),"█",IF(AND(学校マスタ!$R26&lt;&gt;"",学校マスタ!$U26&lt;&gt;"",学校マスタ!$R26&lt;G$3+7,学校マスタ!$U26&gt;=G$3),"▒","")))))</f>
        <v/>
      </c>
      <c r="H28" s="26">
        <f>IF(学校マスタ!$A26="","",IF(AND(学校マスタ!$U26&lt;&gt;"",学校マスタ!$U26&gt;=H$3,学校マスタ!$U26&lt;H$3+7),"◎",IF(OR(AND(学校マスタ!$H26&lt;&gt;"",学校マスタ!$H26&gt;=H$3,学校マスタ!$H26&lt;H$3+7),AND(学校マスタ!$J26&lt;&gt;"",学校マスタ!$J26&gt;=H$3,学校マスタ!$J26&lt;H$3+7),AND(学校マスタ!$L26&lt;&gt;"",学校マスタ!$L26&gt;=H$3,学校マスタ!$L26&lt;H$3+7)),"◆",IF(AND(学校マスタ!$O26&lt;&gt;"",学校マスタ!$P26&lt;&gt;"",学校マスタ!$O26&lt;H$3+7,学校マスタ!$P26&gt;=H$3),"█",IF(AND(学校マスタ!$R26&lt;&gt;"",学校マスタ!$U26&lt;&gt;"",学校マスタ!$R26&lt;H$3+7,学校マスタ!$U26&gt;=H$3),"▒","")))))</f>
        <v/>
      </c>
      <c r="I28" s="26">
        <f>IF(学校マスタ!$A26="","",IF(AND(学校マスタ!$U26&lt;&gt;"",学校マスタ!$U26&gt;=I$3,学校マスタ!$U26&lt;I$3+7),"◎",IF(OR(AND(学校マスタ!$H26&lt;&gt;"",学校マスタ!$H26&gt;=I$3,学校マスタ!$H26&lt;I$3+7),AND(学校マスタ!$J26&lt;&gt;"",学校マスタ!$J26&gt;=I$3,学校マスタ!$J26&lt;I$3+7),AND(学校マスタ!$L26&lt;&gt;"",学校マスタ!$L26&gt;=I$3,学校マスタ!$L26&lt;I$3+7)),"◆",IF(AND(学校マスタ!$O26&lt;&gt;"",学校マスタ!$P26&lt;&gt;"",学校マスタ!$O26&lt;I$3+7,学校マスタ!$P26&gt;=I$3),"█",IF(AND(学校マスタ!$R26&lt;&gt;"",学校マスタ!$U26&lt;&gt;"",学校マスタ!$R26&lt;I$3+7,学校マスタ!$U26&gt;=I$3),"▒","")))))</f>
        <v/>
      </c>
      <c r="J28" s="26">
        <f>IF(学校マスタ!$A26="","",IF(AND(学校マスタ!$U26&lt;&gt;"",学校マスタ!$U26&gt;=J$3,学校マスタ!$U26&lt;J$3+7),"◎",IF(OR(AND(学校マスタ!$H26&lt;&gt;"",学校マスタ!$H26&gt;=J$3,学校マスタ!$H26&lt;J$3+7),AND(学校マスタ!$J26&lt;&gt;"",学校マスタ!$J26&gt;=J$3,学校マスタ!$J26&lt;J$3+7),AND(学校マスタ!$L26&lt;&gt;"",学校マスタ!$L26&gt;=J$3,学校マスタ!$L26&lt;J$3+7)),"◆",IF(AND(学校マスタ!$O26&lt;&gt;"",学校マスタ!$P26&lt;&gt;"",学校マスタ!$O26&lt;J$3+7,学校マスタ!$P26&gt;=J$3),"█",IF(AND(学校マスタ!$R26&lt;&gt;"",学校マスタ!$U26&lt;&gt;"",学校マスタ!$R26&lt;J$3+7,学校マスタ!$U26&gt;=J$3),"▒","")))))</f>
        <v/>
      </c>
      <c r="K28" s="26">
        <f>IF(学校マスタ!$A26="","",IF(AND(学校マスタ!$U26&lt;&gt;"",学校マスタ!$U26&gt;=K$3,学校マスタ!$U26&lt;K$3+7),"◎",IF(OR(AND(学校マスタ!$H26&lt;&gt;"",学校マスタ!$H26&gt;=K$3,学校マスタ!$H26&lt;K$3+7),AND(学校マスタ!$J26&lt;&gt;"",学校マスタ!$J26&gt;=K$3,学校マスタ!$J26&lt;K$3+7),AND(学校マスタ!$L26&lt;&gt;"",学校マスタ!$L26&gt;=K$3,学校マスタ!$L26&lt;K$3+7)),"◆",IF(AND(学校マスタ!$O26&lt;&gt;"",学校マスタ!$P26&lt;&gt;"",学校マスタ!$O26&lt;K$3+7,学校マスタ!$P26&gt;=K$3),"█",IF(AND(学校マスタ!$R26&lt;&gt;"",学校マスタ!$U26&lt;&gt;"",学校マスタ!$R26&lt;K$3+7,学校マスタ!$U26&gt;=K$3),"▒","")))))</f>
        <v/>
      </c>
      <c r="L28" s="26">
        <f>IF(学校マスタ!$A26="","",IF(AND(学校マスタ!$U26&lt;&gt;"",学校マスタ!$U26&gt;=L$3,学校マスタ!$U26&lt;L$3+7),"◎",IF(OR(AND(学校マスタ!$H26&lt;&gt;"",学校マスタ!$H26&gt;=L$3,学校マスタ!$H26&lt;L$3+7),AND(学校マスタ!$J26&lt;&gt;"",学校マスタ!$J26&gt;=L$3,学校マスタ!$J26&lt;L$3+7),AND(学校マスタ!$L26&lt;&gt;"",学校マスタ!$L26&gt;=L$3,学校マスタ!$L26&lt;L$3+7)),"◆",IF(AND(学校マスタ!$O26&lt;&gt;"",学校マスタ!$P26&lt;&gt;"",学校マスタ!$O26&lt;L$3+7,学校マスタ!$P26&gt;=L$3),"█",IF(AND(学校マスタ!$R26&lt;&gt;"",学校マスタ!$U26&lt;&gt;"",学校マスタ!$R26&lt;L$3+7,学校マスタ!$U26&gt;=L$3),"▒","")))))</f>
        <v/>
      </c>
      <c r="M28" s="26">
        <f>IF(学校マスタ!$A26="","",IF(AND(学校マスタ!$U26&lt;&gt;"",学校マスタ!$U26&gt;=M$3,学校マスタ!$U26&lt;M$3+7),"◎",IF(OR(AND(学校マスタ!$H26&lt;&gt;"",学校マスタ!$H26&gt;=M$3,学校マスタ!$H26&lt;M$3+7),AND(学校マスタ!$J26&lt;&gt;"",学校マスタ!$J26&gt;=M$3,学校マスタ!$J26&lt;M$3+7),AND(学校マスタ!$L26&lt;&gt;"",学校マスタ!$L26&gt;=M$3,学校マスタ!$L26&lt;M$3+7)),"◆",IF(AND(学校マスタ!$O26&lt;&gt;"",学校マスタ!$P26&lt;&gt;"",学校マスタ!$O26&lt;M$3+7,学校マスタ!$P26&gt;=M$3),"█",IF(AND(学校マスタ!$R26&lt;&gt;"",学校マスタ!$U26&lt;&gt;"",学校マスタ!$R26&lt;M$3+7,学校マスタ!$U26&gt;=M$3),"▒","")))))</f>
        <v/>
      </c>
      <c r="N28" s="26">
        <f>IF(学校マスタ!$A26="","",IF(AND(学校マスタ!$U26&lt;&gt;"",学校マスタ!$U26&gt;=N$3,学校マスタ!$U26&lt;N$3+7),"◎",IF(OR(AND(学校マスタ!$H26&lt;&gt;"",学校マスタ!$H26&gt;=N$3,学校マスタ!$H26&lt;N$3+7),AND(学校マスタ!$J26&lt;&gt;"",学校マスタ!$J26&gt;=N$3,学校マスタ!$J26&lt;N$3+7),AND(学校マスタ!$L26&lt;&gt;"",学校マスタ!$L26&gt;=N$3,学校マスタ!$L26&lt;N$3+7)),"◆",IF(AND(学校マスタ!$O26&lt;&gt;"",学校マスタ!$P26&lt;&gt;"",学校マスタ!$O26&lt;N$3+7,学校マスタ!$P26&gt;=N$3),"█",IF(AND(学校マスタ!$R26&lt;&gt;"",学校マスタ!$U26&lt;&gt;"",学校マスタ!$R26&lt;N$3+7,学校マスタ!$U26&gt;=N$3),"▒","")))))</f>
        <v/>
      </c>
      <c r="O28" s="26">
        <f>IF(学校マスタ!$A26="","",IF(AND(学校マスタ!$U26&lt;&gt;"",学校マスタ!$U26&gt;=O$3,学校マスタ!$U26&lt;O$3+7),"◎",IF(OR(AND(学校マスタ!$H26&lt;&gt;"",学校マスタ!$H26&gt;=O$3,学校マスタ!$H26&lt;O$3+7),AND(学校マスタ!$J26&lt;&gt;"",学校マスタ!$J26&gt;=O$3,学校マスタ!$J26&lt;O$3+7),AND(学校マスタ!$L26&lt;&gt;"",学校マスタ!$L26&gt;=O$3,学校マスタ!$L26&lt;O$3+7)),"◆",IF(AND(学校マスタ!$O26&lt;&gt;"",学校マスタ!$P26&lt;&gt;"",学校マスタ!$O26&lt;O$3+7,学校マスタ!$P26&gt;=O$3),"█",IF(AND(学校マスタ!$R26&lt;&gt;"",学校マスタ!$U26&lt;&gt;"",学校マスタ!$R26&lt;O$3+7,学校マスタ!$U26&gt;=O$3),"▒","")))))</f>
        <v/>
      </c>
      <c r="P28" s="26">
        <f>IF(学校マスタ!$A26="","",IF(AND(学校マスタ!$U26&lt;&gt;"",学校マスタ!$U26&gt;=P$3,学校マスタ!$U26&lt;P$3+7),"◎",IF(OR(AND(学校マスタ!$H26&lt;&gt;"",学校マスタ!$H26&gt;=P$3,学校マスタ!$H26&lt;P$3+7),AND(学校マスタ!$J26&lt;&gt;"",学校マスタ!$J26&gt;=P$3,学校マスタ!$J26&lt;P$3+7),AND(学校マスタ!$L26&lt;&gt;"",学校マスタ!$L26&gt;=P$3,学校マスタ!$L26&lt;P$3+7)),"◆",IF(AND(学校マスタ!$O26&lt;&gt;"",学校マスタ!$P26&lt;&gt;"",学校マスタ!$O26&lt;P$3+7,学校マスタ!$P26&gt;=P$3),"█",IF(AND(学校マスタ!$R26&lt;&gt;"",学校マスタ!$U26&lt;&gt;"",学校マスタ!$R26&lt;P$3+7,学校マスタ!$U26&gt;=P$3),"▒","")))))</f>
        <v/>
      </c>
      <c r="Q28" s="26">
        <f>IF(学校マスタ!$A26="","",IF(AND(学校マスタ!$U26&lt;&gt;"",学校マスタ!$U26&gt;=Q$3,学校マスタ!$U26&lt;Q$3+7),"◎",IF(OR(AND(学校マスタ!$H26&lt;&gt;"",学校マスタ!$H26&gt;=Q$3,学校マスタ!$H26&lt;Q$3+7),AND(学校マスタ!$J26&lt;&gt;"",学校マスタ!$J26&gt;=Q$3,学校マスタ!$J26&lt;Q$3+7),AND(学校マスタ!$L26&lt;&gt;"",学校マスタ!$L26&gt;=Q$3,学校マスタ!$L26&lt;Q$3+7)),"◆",IF(AND(学校マスタ!$O26&lt;&gt;"",学校マスタ!$P26&lt;&gt;"",学校マスタ!$O26&lt;Q$3+7,学校マスタ!$P26&gt;=Q$3),"█",IF(AND(学校マスタ!$R26&lt;&gt;"",学校マスタ!$U26&lt;&gt;"",学校マスタ!$R26&lt;Q$3+7,学校マスタ!$U26&gt;=Q$3),"▒","")))))</f>
        <v/>
      </c>
      <c r="R28" s="26">
        <f>IF(学校マスタ!$A26="","",IF(AND(学校マスタ!$U26&lt;&gt;"",学校マスタ!$U26&gt;=R$3,学校マスタ!$U26&lt;R$3+7),"◎",IF(OR(AND(学校マスタ!$H26&lt;&gt;"",学校マスタ!$H26&gt;=R$3,学校マスタ!$H26&lt;R$3+7),AND(学校マスタ!$J26&lt;&gt;"",学校マスタ!$J26&gt;=R$3,学校マスタ!$J26&lt;R$3+7),AND(学校マスタ!$L26&lt;&gt;"",学校マスタ!$L26&gt;=R$3,学校マスタ!$L26&lt;R$3+7)),"◆",IF(AND(学校マスタ!$O26&lt;&gt;"",学校マスタ!$P26&lt;&gt;"",学校マスタ!$O26&lt;R$3+7,学校マスタ!$P26&gt;=R$3),"█",IF(AND(学校マスタ!$R26&lt;&gt;"",学校マスタ!$U26&lt;&gt;"",学校マスタ!$R26&lt;R$3+7,学校マスタ!$U26&gt;=R$3),"▒","")))))</f>
        <v/>
      </c>
      <c r="S28" s="26">
        <f>IF(学校マスタ!$A26="","",IF(AND(学校マスタ!$U26&lt;&gt;"",学校マスタ!$U26&gt;=S$3,学校マスタ!$U26&lt;S$3+7),"◎",IF(OR(AND(学校マスタ!$H26&lt;&gt;"",学校マスタ!$H26&gt;=S$3,学校マスタ!$H26&lt;S$3+7),AND(学校マスタ!$J26&lt;&gt;"",学校マスタ!$J26&gt;=S$3,学校マスタ!$J26&lt;S$3+7),AND(学校マスタ!$L26&lt;&gt;"",学校マスタ!$L26&gt;=S$3,学校マスタ!$L26&lt;S$3+7)),"◆",IF(AND(学校マスタ!$O26&lt;&gt;"",学校マスタ!$P26&lt;&gt;"",学校マスタ!$O26&lt;S$3+7,学校マスタ!$P26&gt;=S$3),"█",IF(AND(学校マスタ!$R26&lt;&gt;"",学校マスタ!$U26&lt;&gt;"",学校マスタ!$R26&lt;S$3+7,学校マスタ!$U26&gt;=S$3),"▒","")))))</f>
        <v/>
      </c>
      <c r="T28" s="26">
        <f>IF(学校マスタ!$A26="","",IF(AND(学校マスタ!$U26&lt;&gt;"",学校マスタ!$U26&gt;=T$3,学校マスタ!$U26&lt;T$3+7),"◎",IF(OR(AND(学校マスタ!$H26&lt;&gt;"",学校マスタ!$H26&gt;=T$3,学校マスタ!$H26&lt;T$3+7),AND(学校マスタ!$J26&lt;&gt;"",学校マスタ!$J26&gt;=T$3,学校マスタ!$J26&lt;T$3+7),AND(学校マスタ!$L26&lt;&gt;"",学校マスタ!$L26&gt;=T$3,学校マスタ!$L26&lt;T$3+7)),"◆",IF(AND(学校マスタ!$O26&lt;&gt;"",学校マスタ!$P26&lt;&gt;"",学校マスタ!$O26&lt;T$3+7,学校マスタ!$P26&gt;=T$3),"█",IF(AND(学校マスタ!$R26&lt;&gt;"",学校マスタ!$U26&lt;&gt;"",学校マスタ!$R26&lt;T$3+7,学校マスタ!$U26&gt;=T$3),"▒","")))))</f>
        <v/>
      </c>
      <c r="U28" s="26">
        <f>IF(学校マスタ!$A26="","",IF(AND(学校マスタ!$U26&lt;&gt;"",学校マスタ!$U26&gt;=U$3,学校マスタ!$U26&lt;U$3+7),"◎",IF(OR(AND(学校マスタ!$H26&lt;&gt;"",学校マスタ!$H26&gt;=U$3,学校マスタ!$H26&lt;U$3+7),AND(学校マスタ!$J26&lt;&gt;"",学校マスタ!$J26&gt;=U$3,学校マスタ!$J26&lt;U$3+7),AND(学校マスタ!$L26&lt;&gt;"",学校マスタ!$L26&gt;=U$3,学校マスタ!$L26&lt;U$3+7)),"◆",IF(AND(学校マスタ!$O26&lt;&gt;"",学校マスタ!$P26&lt;&gt;"",学校マスタ!$O26&lt;U$3+7,学校マスタ!$P26&gt;=U$3),"█",IF(AND(学校マスタ!$R26&lt;&gt;"",学校マスタ!$U26&lt;&gt;"",学校マスタ!$R26&lt;U$3+7,学校マスタ!$U26&gt;=U$3),"▒","")))))</f>
        <v/>
      </c>
      <c r="V28" s="26">
        <f>IF(学校マスタ!$A26="","",IF(AND(学校マスタ!$U26&lt;&gt;"",学校マスタ!$U26&gt;=V$3,学校マスタ!$U26&lt;V$3+7),"◎",IF(OR(AND(学校マスタ!$H26&lt;&gt;"",学校マスタ!$H26&gt;=V$3,学校マスタ!$H26&lt;V$3+7),AND(学校マスタ!$J26&lt;&gt;"",学校マスタ!$J26&gt;=V$3,学校マスタ!$J26&lt;V$3+7),AND(学校マスタ!$L26&lt;&gt;"",学校マスタ!$L26&gt;=V$3,学校マスタ!$L26&lt;V$3+7)),"◆",IF(AND(学校マスタ!$O26&lt;&gt;"",学校マスタ!$P26&lt;&gt;"",学校マスタ!$O26&lt;V$3+7,学校マスタ!$P26&gt;=V$3),"█",IF(AND(学校マスタ!$R26&lt;&gt;"",学校マスタ!$U26&lt;&gt;"",学校マスタ!$R26&lt;V$3+7,学校マスタ!$U26&gt;=V$3),"▒","")))))</f>
        <v/>
      </c>
      <c r="W28" s="26">
        <f>IF(学校マスタ!$A26="","",IF(AND(学校マスタ!$U26&lt;&gt;"",学校マスタ!$U26&gt;=W$3,学校マスタ!$U26&lt;W$3+7),"◎",IF(OR(AND(学校マスタ!$H26&lt;&gt;"",学校マスタ!$H26&gt;=W$3,学校マスタ!$H26&lt;W$3+7),AND(学校マスタ!$J26&lt;&gt;"",学校マスタ!$J26&gt;=W$3,学校マスタ!$J26&lt;W$3+7),AND(学校マスタ!$L26&lt;&gt;"",学校マスタ!$L26&gt;=W$3,学校マスタ!$L26&lt;W$3+7)),"◆",IF(AND(学校マスタ!$O26&lt;&gt;"",学校マスタ!$P26&lt;&gt;"",学校マスタ!$O26&lt;W$3+7,学校マスタ!$P26&gt;=W$3),"█",IF(AND(学校マスタ!$R26&lt;&gt;"",学校マスタ!$U26&lt;&gt;"",学校マスタ!$R26&lt;W$3+7,学校マスタ!$U26&gt;=W$3),"▒","")))))</f>
        <v/>
      </c>
      <c r="X28" s="26">
        <f>IF(学校マスタ!$A26="","",IF(AND(学校マスタ!$U26&lt;&gt;"",学校マスタ!$U26&gt;=X$3,学校マスタ!$U26&lt;X$3+7),"◎",IF(OR(AND(学校マスタ!$H26&lt;&gt;"",学校マスタ!$H26&gt;=X$3,学校マスタ!$H26&lt;X$3+7),AND(学校マスタ!$J26&lt;&gt;"",学校マスタ!$J26&gt;=X$3,学校マスタ!$J26&lt;X$3+7),AND(学校マスタ!$L26&lt;&gt;"",学校マスタ!$L26&gt;=X$3,学校マスタ!$L26&lt;X$3+7)),"◆",IF(AND(学校マスタ!$O26&lt;&gt;"",学校マスタ!$P26&lt;&gt;"",学校マスタ!$O26&lt;X$3+7,学校マスタ!$P26&gt;=X$3),"█",IF(AND(学校マスタ!$R26&lt;&gt;"",学校マスタ!$U26&lt;&gt;"",学校マスタ!$R26&lt;X$3+7,学校マスタ!$U26&gt;=X$3),"▒","")))))</f>
        <v/>
      </c>
      <c r="Y28" s="26">
        <f>IF(学校マスタ!$A26="","",IF(AND(学校マスタ!$U26&lt;&gt;"",学校マスタ!$U26&gt;=Y$3,学校マスタ!$U26&lt;Y$3+7),"◎",IF(OR(AND(学校マスタ!$H26&lt;&gt;"",学校マスタ!$H26&gt;=Y$3,学校マスタ!$H26&lt;Y$3+7),AND(学校マスタ!$J26&lt;&gt;"",学校マスタ!$J26&gt;=Y$3,学校マスタ!$J26&lt;Y$3+7),AND(学校マスタ!$L26&lt;&gt;"",学校マスタ!$L26&gt;=Y$3,学校マスタ!$L26&lt;Y$3+7)),"◆",IF(AND(学校マスタ!$O26&lt;&gt;"",学校マスタ!$P26&lt;&gt;"",学校マスタ!$O26&lt;Y$3+7,学校マスタ!$P26&gt;=Y$3),"█",IF(AND(学校マスタ!$R26&lt;&gt;"",学校マスタ!$U26&lt;&gt;"",学校マスタ!$R26&lt;Y$3+7,学校マスタ!$U26&gt;=Y$3),"▒","")))))</f>
        <v/>
      </c>
      <c r="Z28" s="26">
        <f>IF(学校マスタ!$A26="","",IF(AND(学校マスタ!$U26&lt;&gt;"",学校マスタ!$U26&gt;=Z$3,学校マスタ!$U26&lt;Z$3+7),"◎",IF(OR(AND(学校マスタ!$H26&lt;&gt;"",学校マスタ!$H26&gt;=Z$3,学校マスタ!$H26&lt;Z$3+7),AND(学校マスタ!$J26&lt;&gt;"",学校マスタ!$J26&gt;=Z$3,学校マスタ!$J26&lt;Z$3+7),AND(学校マスタ!$L26&lt;&gt;"",学校マスタ!$L26&gt;=Z$3,学校マスタ!$L26&lt;Z$3+7)),"◆",IF(AND(学校マスタ!$O26&lt;&gt;"",学校マスタ!$P26&lt;&gt;"",学校マスタ!$O26&lt;Z$3+7,学校マスタ!$P26&gt;=Z$3),"█",IF(AND(学校マスタ!$R26&lt;&gt;"",学校マスタ!$U26&lt;&gt;"",学校マスタ!$R26&lt;Z$3+7,学校マスタ!$U26&gt;=Z$3),"▒","")))))</f>
        <v/>
      </c>
      <c r="AA28" s="26">
        <f>IF(学校マスタ!$A26="","",IF(AND(学校マスタ!$U26&lt;&gt;"",学校マスタ!$U26&gt;=AA$3,学校マスタ!$U26&lt;AA$3+7),"◎",IF(OR(AND(学校マスタ!$H26&lt;&gt;"",学校マスタ!$H26&gt;=AA$3,学校マスタ!$H26&lt;AA$3+7),AND(学校マスタ!$J26&lt;&gt;"",学校マスタ!$J26&gt;=AA$3,学校マスタ!$J26&lt;AA$3+7),AND(学校マスタ!$L26&lt;&gt;"",学校マスタ!$L26&gt;=AA$3,学校マスタ!$L26&lt;AA$3+7)),"◆",IF(AND(学校マスタ!$O26&lt;&gt;"",学校マスタ!$P26&lt;&gt;"",学校マスタ!$O26&lt;AA$3+7,学校マスタ!$P26&gt;=AA$3),"█",IF(AND(学校マスタ!$R26&lt;&gt;"",学校マスタ!$U26&lt;&gt;"",学校マスタ!$R26&lt;AA$3+7,学校マスタ!$U26&gt;=AA$3),"▒","")))))</f>
        <v/>
      </c>
      <c r="AB28" s="26">
        <f>IF(学校マスタ!$A26="","",IF(AND(学校マスタ!$U26&lt;&gt;"",学校マスタ!$U26&gt;=AB$3,学校マスタ!$U26&lt;AB$3+7),"◎",IF(OR(AND(学校マスタ!$H26&lt;&gt;"",学校マスタ!$H26&gt;=AB$3,学校マスタ!$H26&lt;AB$3+7),AND(学校マスタ!$J26&lt;&gt;"",学校マスタ!$J26&gt;=AB$3,学校マスタ!$J26&lt;AB$3+7),AND(学校マスタ!$L26&lt;&gt;"",学校マスタ!$L26&gt;=AB$3,学校マスタ!$L26&lt;AB$3+7)),"◆",IF(AND(学校マスタ!$O26&lt;&gt;"",学校マスタ!$P26&lt;&gt;"",学校マスタ!$O26&lt;AB$3+7,学校マスタ!$P26&gt;=AB$3),"█",IF(AND(学校マスタ!$R26&lt;&gt;"",学校マスタ!$U26&lt;&gt;"",学校マスタ!$R26&lt;AB$3+7,学校マスタ!$U26&gt;=AB$3),"▒","")))))</f>
        <v/>
      </c>
    </row>
    <row r="29">
      <c r="A29" s="19">
        <f>IF(学校マスタ!$A27="","",学校マスタ!$A27)</f>
        <v/>
      </c>
      <c r="B29" s="19">
        <f>IF(学校マスタ!$A27="","",学校マスタ!$C27)</f>
        <v/>
      </c>
      <c r="C29" s="19">
        <f>IF(学校マスタ!$A27="","",学校マスタ!$X27)</f>
        <v/>
      </c>
      <c r="D29" s="25">
        <f>IF(学校マスタ!$A27="","",学校マスタ!$R27)</f>
        <v/>
      </c>
      <c r="E29" s="26">
        <f>IF(学校マスタ!$A27="","",IF(AND(学校マスタ!$U27&lt;&gt;"",学校マスタ!$U27&gt;=E$3,学校マスタ!$U27&lt;E$3+7),"◎",IF(OR(AND(学校マスタ!$H27&lt;&gt;"",学校マスタ!$H27&gt;=E$3,学校マスタ!$H27&lt;E$3+7),AND(学校マスタ!$J27&lt;&gt;"",学校マスタ!$J27&gt;=E$3,学校マスタ!$J27&lt;E$3+7),AND(学校マスタ!$L27&lt;&gt;"",学校マスタ!$L27&gt;=E$3,学校マスタ!$L27&lt;E$3+7)),"◆",IF(AND(学校マスタ!$O27&lt;&gt;"",学校マスタ!$P27&lt;&gt;"",学校マスタ!$O27&lt;E$3+7,学校マスタ!$P27&gt;=E$3),"█",IF(AND(学校マスタ!$R27&lt;&gt;"",学校マスタ!$U27&lt;&gt;"",学校マスタ!$R27&lt;E$3+7,学校マスタ!$U27&gt;=E$3),"▒","")))))</f>
        <v/>
      </c>
      <c r="F29" s="26">
        <f>IF(学校マスタ!$A27="","",IF(AND(学校マスタ!$U27&lt;&gt;"",学校マスタ!$U27&gt;=F$3,学校マスタ!$U27&lt;F$3+7),"◎",IF(OR(AND(学校マスタ!$H27&lt;&gt;"",学校マスタ!$H27&gt;=F$3,学校マスタ!$H27&lt;F$3+7),AND(学校マスタ!$J27&lt;&gt;"",学校マスタ!$J27&gt;=F$3,学校マスタ!$J27&lt;F$3+7),AND(学校マスタ!$L27&lt;&gt;"",学校マスタ!$L27&gt;=F$3,学校マスタ!$L27&lt;F$3+7)),"◆",IF(AND(学校マスタ!$O27&lt;&gt;"",学校マスタ!$P27&lt;&gt;"",学校マスタ!$O27&lt;F$3+7,学校マスタ!$P27&gt;=F$3),"█",IF(AND(学校マスタ!$R27&lt;&gt;"",学校マスタ!$U27&lt;&gt;"",学校マスタ!$R27&lt;F$3+7,学校マスタ!$U27&gt;=F$3),"▒","")))))</f>
        <v/>
      </c>
      <c r="G29" s="26">
        <f>IF(学校マスタ!$A27="","",IF(AND(学校マスタ!$U27&lt;&gt;"",学校マスタ!$U27&gt;=G$3,学校マスタ!$U27&lt;G$3+7),"◎",IF(OR(AND(学校マスタ!$H27&lt;&gt;"",学校マスタ!$H27&gt;=G$3,学校マスタ!$H27&lt;G$3+7),AND(学校マスタ!$J27&lt;&gt;"",学校マスタ!$J27&gt;=G$3,学校マスタ!$J27&lt;G$3+7),AND(学校マスタ!$L27&lt;&gt;"",学校マスタ!$L27&gt;=G$3,学校マスタ!$L27&lt;G$3+7)),"◆",IF(AND(学校マスタ!$O27&lt;&gt;"",学校マスタ!$P27&lt;&gt;"",学校マスタ!$O27&lt;G$3+7,学校マスタ!$P27&gt;=G$3),"█",IF(AND(学校マスタ!$R27&lt;&gt;"",学校マスタ!$U27&lt;&gt;"",学校マスタ!$R27&lt;G$3+7,学校マスタ!$U27&gt;=G$3),"▒","")))))</f>
        <v/>
      </c>
      <c r="H29" s="26">
        <f>IF(学校マスタ!$A27="","",IF(AND(学校マスタ!$U27&lt;&gt;"",学校マスタ!$U27&gt;=H$3,学校マスタ!$U27&lt;H$3+7),"◎",IF(OR(AND(学校マスタ!$H27&lt;&gt;"",学校マスタ!$H27&gt;=H$3,学校マスタ!$H27&lt;H$3+7),AND(学校マスタ!$J27&lt;&gt;"",学校マスタ!$J27&gt;=H$3,学校マスタ!$J27&lt;H$3+7),AND(学校マスタ!$L27&lt;&gt;"",学校マスタ!$L27&gt;=H$3,学校マスタ!$L27&lt;H$3+7)),"◆",IF(AND(学校マスタ!$O27&lt;&gt;"",学校マスタ!$P27&lt;&gt;"",学校マスタ!$O27&lt;H$3+7,学校マスタ!$P27&gt;=H$3),"█",IF(AND(学校マスタ!$R27&lt;&gt;"",学校マスタ!$U27&lt;&gt;"",学校マスタ!$R27&lt;H$3+7,学校マスタ!$U27&gt;=H$3),"▒","")))))</f>
        <v/>
      </c>
      <c r="I29" s="26">
        <f>IF(学校マスタ!$A27="","",IF(AND(学校マスタ!$U27&lt;&gt;"",学校マスタ!$U27&gt;=I$3,学校マスタ!$U27&lt;I$3+7),"◎",IF(OR(AND(学校マスタ!$H27&lt;&gt;"",学校マスタ!$H27&gt;=I$3,学校マスタ!$H27&lt;I$3+7),AND(学校マスタ!$J27&lt;&gt;"",学校マスタ!$J27&gt;=I$3,学校マスタ!$J27&lt;I$3+7),AND(学校マスタ!$L27&lt;&gt;"",学校マスタ!$L27&gt;=I$3,学校マスタ!$L27&lt;I$3+7)),"◆",IF(AND(学校マスタ!$O27&lt;&gt;"",学校マスタ!$P27&lt;&gt;"",学校マスタ!$O27&lt;I$3+7,学校マスタ!$P27&gt;=I$3),"█",IF(AND(学校マスタ!$R27&lt;&gt;"",学校マスタ!$U27&lt;&gt;"",学校マスタ!$R27&lt;I$3+7,学校マスタ!$U27&gt;=I$3),"▒","")))))</f>
        <v/>
      </c>
      <c r="J29" s="26">
        <f>IF(学校マスタ!$A27="","",IF(AND(学校マスタ!$U27&lt;&gt;"",学校マスタ!$U27&gt;=J$3,学校マスタ!$U27&lt;J$3+7),"◎",IF(OR(AND(学校マスタ!$H27&lt;&gt;"",学校マスタ!$H27&gt;=J$3,学校マスタ!$H27&lt;J$3+7),AND(学校マスタ!$J27&lt;&gt;"",学校マスタ!$J27&gt;=J$3,学校マスタ!$J27&lt;J$3+7),AND(学校マスタ!$L27&lt;&gt;"",学校マスタ!$L27&gt;=J$3,学校マスタ!$L27&lt;J$3+7)),"◆",IF(AND(学校マスタ!$O27&lt;&gt;"",学校マスタ!$P27&lt;&gt;"",学校マスタ!$O27&lt;J$3+7,学校マスタ!$P27&gt;=J$3),"█",IF(AND(学校マスタ!$R27&lt;&gt;"",学校マスタ!$U27&lt;&gt;"",学校マスタ!$R27&lt;J$3+7,学校マスタ!$U27&gt;=J$3),"▒","")))))</f>
        <v/>
      </c>
      <c r="K29" s="26">
        <f>IF(学校マスタ!$A27="","",IF(AND(学校マスタ!$U27&lt;&gt;"",学校マスタ!$U27&gt;=K$3,学校マスタ!$U27&lt;K$3+7),"◎",IF(OR(AND(学校マスタ!$H27&lt;&gt;"",学校マスタ!$H27&gt;=K$3,学校マスタ!$H27&lt;K$3+7),AND(学校マスタ!$J27&lt;&gt;"",学校マスタ!$J27&gt;=K$3,学校マスタ!$J27&lt;K$3+7),AND(学校マスタ!$L27&lt;&gt;"",学校マスタ!$L27&gt;=K$3,学校マスタ!$L27&lt;K$3+7)),"◆",IF(AND(学校マスタ!$O27&lt;&gt;"",学校マスタ!$P27&lt;&gt;"",学校マスタ!$O27&lt;K$3+7,学校マスタ!$P27&gt;=K$3),"█",IF(AND(学校マスタ!$R27&lt;&gt;"",学校マスタ!$U27&lt;&gt;"",学校マスタ!$R27&lt;K$3+7,学校マスタ!$U27&gt;=K$3),"▒","")))))</f>
        <v/>
      </c>
      <c r="L29" s="26">
        <f>IF(学校マスタ!$A27="","",IF(AND(学校マスタ!$U27&lt;&gt;"",学校マスタ!$U27&gt;=L$3,学校マスタ!$U27&lt;L$3+7),"◎",IF(OR(AND(学校マスタ!$H27&lt;&gt;"",学校マスタ!$H27&gt;=L$3,学校マスタ!$H27&lt;L$3+7),AND(学校マスタ!$J27&lt;&gt;"",学校マスタ!$J27&gt;=L$3,学校マスタ!$J27&lt;L$3+7),AND(学校マスタ!$L27&lt;&gt;"",学校マスタ!$L27&gt;=L$3,学校マスタ!$L27&lt;L$3+7)),"◆",IF(AND(学校マスタ!$O27&lt;&gt;"",学校マスタ!$P27&lt;&gt;"",学校マスタ!$O27&lt;L$3+7,学校マスタ!$P27&gt;=L$3),"█",IF(AND(学校マスタ!$R27&lt;&gt;"",学校マスタ!$U27&lt;&gt;"",学校マスタ!$R27&lt;L$3+7,学校マスタ!$U27&gt;=L$3),"▒","")))))</f>
        <v/>
      </c>
      <c r="M29" s="26">
        <f>IF(学校マスタ!$A27="","",IF(AND(学校マスタ!$U27&lt;&gt;"",学校マスタ!$U27&gt;=M$3,学校マスタ!$U27&lt;M$3+7),"◎",IF(OR(AND(学校マスタ!$H27&lt;&gt;"",学校マスタ!$H27&gt;=M$3,学校マスタ!$H27&lt;M$3+7),AND(学校マスタ!$J27&lt;&gt;"",学校マスタ!$J27&gt;=M$3,学校マスタ!$J27&lt;M$3+7),AND(学校マスタ!$L27&lt;&gt;"",学校マスタ!$L27&gt;=M$3,学校マスタ!$L27&lt;M$3+7)),"◆",IF(AND(学校マスタ!$O27&lt;&gt;"",学校マスタ!$P27&lt;&gt;"",学校マスタ!$O27&lt;M$3+7,学校マスタ!$P27&gt;=M$3),"█",IF(AND(学校マスタ!$R27&lt;&gt;"",学校マスタ!$U27&lt;&gt;"",学校マスタ!$R27&lt;M$3+7,学校マスタ!$U27&gt;=M$3),"▒","")))))</f>
        <v/>
      </c>
      <c r="N29" s="26">
        <f>IF(学校マスタ!$A27="","",IF(AND(学校マスタ!$U27&lt;&gt;"",学校マスタ!$U27&gt;=N$3,学校マスタ!$U27&lt;N$3+7),"◎",IF(OR(AND(学校マスタ!$H27&lt;&gt;"",学校マスタ!$H27&gt;=N$3,学校マスタ!$H27&lt;N$3+7),AND(学校マスタ!$J27&lt;&gt;"",学校マスタ!$J27&gt;=N$3,学校マスタ!$J27&lt;N$3+7),AND(学校マスタ!$L27&lt;&gt;"",学校マスタ!$L27&gt;=N$3,学校マスタ!$L27&lt;N$3+7)),"◆",IF(AND(学校マスタ!$O27&lt;&gt;"",学校マスタ!$P27&lt;&gt;"",学校マスタ!$O27&lt;N$3+7,学校マスタ!$P27&gt;=N$3),"█",IF(AND(学校マスタ!$R27&lt;&gt;"",学校マスタ!$U27&lt;&gt;"",学校マスタ!$R27&lt;N$3+7,学校マスタ!$U27&gt;=N$3),"▒","")))))</f>
        <v/>
      </c>
      <c r="O29" s="26">
        <f>IF(学校マスタ!$A27="","",IF(AND(学校マスタ!$U27&lt;&gt;"",学校マスタ!$U27&gt;=O$3,学校マスタ!$U27&lt;O$3+7),"◎",IF(OR(AND(学校マスタ!$H27&lt;&gt;"",学校マスタ!$H27&gt;=O$3,学校マスタ!$H27&lt;O$3+7),AND(学校マスタ!$J27&lt;&gt;"",学校マスタ!$J27&gt;=O$3,学校マスタ!$J27&lt;O$3+7),AND(学校マスタ!$L27&lt;&gt;"",学校マスタ!$L27&gt;=O$3,学校マスタ!$L27&lt;O$3+7)),"◆",IF(AND(学校マスタ!$O27&lt;&gt;"",学校マスタ!$P27&lt;&gt;"",学校マスタ!$O27&lt;O$3+7,学校マスタ!$P27&gt;=O$3),"█",IF(AND(学校マスタ!$R27&lt;&gt;"",学校マスタ!$U27&lt;&gt;"",学校マスタ!$R27&lt;O$3+7,学校マスタ!$U27&gt;=O$3),"▒","")))))</f>
        <v/>
      </c>
      <c r="P29" s="26">
        <f>IF(学校マスタ!$A27="","",IF(AND(学校マスタ!$U27&lt;&gt;"",学校マスタ!$U27&gt;=P$3,学校マスタ!$U27&lt;P$3+7),"◎",IF(OR(AND(学校マスタ!$H27&lt;&gt;"",学校マスタ!$H27&gt;=P$3,学校マスタ!$H27&lt;P$3+7),AND(学校マスタ!$J27&lt;&gt;"",学校マスタ!$J27&gt;=P$3,学校マスタ!$J27&lt;P$3+7),AND(学校マスタ!$L27&lt;&gt;"",学校マスタ!$L27&gt;=P$3,学校マスタ!$L27&lt;P$3+7)),"◆",IF(AND(学校マスタ!$O27&lt;&gt;"",学校マスタ!$P27&lt;&gt;"",学校マスタ!$O27&lt;P$3+7,学校マスタ!$P27&gt;=P$3),"█",IF(AND(学校マスタ!$R27&lt;&gt;"",学校マスタ!$U27&lt;&gt;"",学校マスタ!$R27&lt;P$3+7,学校マスタ!$U27&gt;=P$3),"▒","")))))</f>
        <v/>
      </c>
      <c r="Q29" s="26">
        <f>IF(学校マスタ!$A27="","",IF(AND(学校マスタ!$U27&lt;&gt;"",学校マスタ!$U27&gt;=Q$3,学校マスタ!$U27&lt;Q$3+7),"◎",IF(OR(AND(学校マスタ!$H27&lt;&gt;"",学校マスタ!$H27&gt;=Q$3,学校マスタ!$H27&lt;Q$3+7),AND(学校マスタ!$J27&lt;&gt;"",学校マスタ!$J27&gt;=Q$3,学校マスタ!$J27&lt;Q$3+7),AND(学校マスタ!$L27&lt;&gt;"",学校マスタ!$L27&gt;=Q$3,学校マスタ!$L27&lt;Q$3+7)),"◆",IF(AND(学校マスタ!$O27&lt;&gt;"",学校マスタ!$P27&lt;&gt;"",学校マスタ!$O27&lt;Q$3+7,学校マスタ!$P27&gt;=Q$3),"█",IF(AND(学校マスタ!$R27&lt;&gt;"",学校マスタ!$U27&lt;&gt;"",学校マスタ!$R27&lt;Q$3+7,学校マスタ!$U27&gt;=Q$3),"▒","")))))</f>
        <v/>
      </c>
      <c r="R29" s="26">
        <f>IF(学校マスタ!$A27="","",IF(AND(学校マスタ!$U27&lt;&gt;"",学校マスタ!$U27&gt;=R$3,学校マスタ!$U27&lt;R$3+7),"◎",IF(OR(AND(学校マスタ!$H27&lt;&gt;"",学校マスタ!$H27&gt;=R$3,学校マスタ!$H27&lt;R$3+7),AND(学校マスタ!$J27&lt;&gt;"",学校マスタ!$J27&gt;=R$3,学校マスタ!$J27&lt;R$3+7),AND(学校マスタ!$L27&lt;&gt;"",学校マスタ!$L27&gt;=R$3,学校マスタ!$L27&lt;R$3+7)),"◆",IF(AND(学校マスタ!$O27&lt;&gt;"",学校マスタ!$P27&lt;&gt;"",学校マスタ!$O27&lt;R$3+7,学校マスタ!$P27&gt;=R$3),"█",IF(AND(学校マスタ!$R27&lt;&gt;"",学校マスタ!$U27&lt;&gt;"",学校マスタ!$R27&lt;R$3+7,学校マスタ!$U27&gt;=R$3),"▒","")))))</f>
        <v/>
      </c>
      <c r="S29" s="26">
        <f>IF(学校マスタ!$A27="","",IF(AND(学校マスタ!$U27&lt;&gt;"",学校マスタ!$U27&gt;=S$3,学校マスタ!$U27&lt;S$3+7),"◎",IF(OR(AND(学校マスタ!$H27&lt;&gt;"",学校マスタ!$H27&gt;=S$3,学校マスタ!$H27&lt;S$3+7),AND(学校マスタ!$J27&lt;&gt;"",学校マスタ!$J27&gt;=S$3,学校マスタ!$J27&lt;S$3+7),AND(学校マスタ!$L27&lt;&gt;"",学校マスタ!$L27&gt;=S$3,学校マスタ!$L27&lt;S$3+7)),"◆",IF(AND(学校マスタ!$O27&lt;&gt;"",学校マスタ!$P27&lt;&gt;"",学校マスタ!$O27&lt;S$3+7,学校マスタ!$P27&gt;=S$3),"█",IF(AND(学校マスタ!$R27&lt;&gt;"",学校マスタ!$U27&lt;&gt;"",学校マスタ!$R27&lt;S$3+7,学校マスタ!$U27&gt;=S$3),"▒","")))))</f>
        <v/>
      </c>
      <c r="T29" s="26">
        <f>IF(学校マスタ!$A27="","",IF(AND(学校マスタ!$U27&lt;&gt;"",学校マスタ!$U27&gt;=T$3,学校マスタ!$U27&lt;T$3+7),"◎",IF(OR(AND(学校マスタ!$H27&lt;&gt;"",学校マスタ!$H27&gt;=T$3,学校マスタ!$H27&lt;T$3+7),AND(学校マスタ!$J27&lt;&gt;"",学校マスタ!$J27&gt;=T$3,学校マスタ!$J27&lt;T$3+7),AND(学校マスタ!$L27&lt;&gt;"",学校マスタ!$L27&gt;=T$3,学校マスタ!$L27&lt;T$3+7)),"◆",IF(AND(学校マスタ!$O27&lt;&gt;"",学校マスタ!$P27&lt;&gt;"",学校マスタ!$O27&lt;T$3+7,学校マスタ!$P27&gt;=T$3),"█",IF(AND(学校マスタ!$R27&lt;&gt;"",学校マスタ!$U27&lt;&gt;"",学校マスタ!$R27&lt;T$3+7,学校マスタ!$U27&gt;=T$3),"▒","")))))</f>
        <v/>
      </c>
      <c r="U29" s="26">
        <f>IF(学校マスタ!$A27="","",IF(AND(学校マスタ!$U27&lt;&gt;"",学校マスタ!$U27&gt;=U$3,学校マスタ!$U27&lt;U$3+7),"◎",IF(OR(AND(学校マスタ!$H27&lt;&gt;"",学校マスタ!$H27&gt;=U$3,学校マスタ!$H27&lt;U$3+7),AND(学校マスタ!$J27&lt;&gt;"",学校マスタ!$J27&gt;=U$3,学校マスタ!$J27&lt;U$3+7),AND(学校マスタ!$L27&lt;&gt;"",学校マスタ!$L27&gt;=U$3,学校マスタ!$L27&lt;U$3+7)),"◆",IF(AND(学校マスタ!$O27&lt;&gt;"",学校マスタ!$P27&lt;&gt;"",学校マスタ!$O27&lt;U$3+7,学校マスタ!$P27&gt;=U$3),"█",IF(AND(学校マスタ!$R27&lt;&gt;"",学校マスタ!$U27&lt;&gt;"",学校マスタ!$R27&lt;U$3+7,学校マスタ!$U27&gt;=U$3),"▒","")))))</f>
        <v/>
      </c>
      <c r="V29" s="26">
        <f>IF(学校マスタ!$A27="","",IF(AND(学校マスタ!$U27&lt;&gt;"",学校マスタ!$U27&gt;=V$3,学校マスタ!$U27&lt;V$3+7),"◎",IF(OR(AND(学校マスタ!$H27&lt;&gt;"",学校マスタ!$H27&gt;=V$3,学校マスタ!$H27&lt;V$3+7),AND(学校マスタ!$J27&lt;&gt;"",学校マスタ!$J27&gt;=V$3,学校マスタ!$J27&lt;V$3+7),AND(学校マスタ!$L27&lt;&gt;"",学校マスタ!$L27&gt;=V$3,学校マスタ!$L27&lt;V$3+7)),"◆",IF(AND(学校マスタ!$O27&lt;&gt;"",学校マスタ!$P27&lt;&gt;"",学校マスタ!$O27&lt;V$3+7,学校マスタ!$P27&gt;=V$3),"█",IF(AND(学校マスタ!$R27&lt;&gt;"",学校マスタ!$U27&lt;&gt;"",学校マスタ!$R27&lt;V$3+7,学校マスタ!$U27&gt;=V$3),"▒","")))))</f>
        <v/>
      </c>
      <c r="W29" s="26">
        <f>IF(学校マスタ!$A27="","",IF(AND(学校マスタ!$U27&lt;&gt;"",学校マスタ!$U27&gt;=W$3,学校マスタ!$U27&lt;W$3+7),"◎",IF(OR(AND(学校マスタ!$H27&lt;&gt;"",学校マスタ!$H27&gt;=W$3,学校マスタ!$H27&lt;W$3+7),AND(学校マスタ!$J27&lt;&gt;"",学校マスタ!$J27&gt;=W$3,学校マスタ!$J27&lt;W$3+7),AND(学校マスタ!$L27&lt;&gt;"",学校マスタ!$L27&gt;=W$3,学校マスタ!$L27&lt;W$3+7)),"◆",IF(AND(学校マスタ!$O27&lt;&gt;"",学校マスタ!$P27&lt;&gt;"",学校マスタ!$O27&lt;W$3+7,学校マスタ!$P27&gt;=W$3),"█",IF(AND(学校マスタ!$R27&lt;&gt;"",学校マスタ!$U27&lt;&gt;"",学校マスタ!$R27&lt;W$3+7,学校マスタ!$U27&gt;=W$3),"▒","")))))</f>
        <v/>
      </c>
      <c r="X29" s="26">
        <f>IF(学校マスタ!$A27="","",IF(AND(学校マスタ!$U27&lt;&gt;"",学校マスタ!$U27&gt;=X$3,学校マスタ!$U27&lt;X$3+7),"◎",IF(OR(AND(学校マスタ!$H27&lt;&gt;"",学校マスタ!$H27&gt;=X$3,学校マスタ!$H27&lt;X$3+7),AND(学校マスタ!$J27&lt;&gt;"",学校マスタ!$J27&gt;=X$3,学校マスタ!$J27&lt;X$3+7),AND(学校マスタ!$L27&lt;&gt;"",学校マスタ!$L27&gt;=X$3,学校マスタ!$L27&lt;X$3+7)),"◆",IF(AND(学校マスタ!$O27&lt;&gt;"",学校マスタ!$P27&lt;&gt;"",学校マスタ!$O27&lt;X$3+7,学校マスタ!$P27&gt;=X$3),"█",IF(AND(学校マスタ!$R27&lt;&gt;"",学校マスタ!$U27&lt;&gt;"",学校マスタ!$R27&lt;X$3+7,学校マスタ!$U27&gt;=X$3),"▒","")))))</f>
        <v/>
      </c>
      <c r="Y29" s="26">
        <f>IF(学校マスタ!$A27="","",IF(AND(学校マスタ!$U27&lt;&gt;"",学校マスタ!$U27&gt;=Y$3,学校マスタ!$U27&lt;Y$3+7),"◎",IF(OR(AND(学校マスタ!$H27&lt;&gt;"",学校マスタ!$H27&gt;=Y$3,学校マスタ!$H27&lt;Y$3+7),AND(学校マスタ!$J27&lt;&gt;"",学校マスタ!$J27&gt;=Y$3,学校マスタ!$J27&lt;Y$3+7),AND(学校マスタ!$L27&lt;&gt;"",学校マスタ!$L27&gt;=Y$3,学校マスタ!$L27&lt;Y$3+7)),"◆",IF(AND(学校マスタ!$O27&lt;&gt;"",学校マスタ!$P27&lt;&gt;"",学校マスタ!$O27&lt;Y$3+7,学校マスタ!$P27&gt;=Y$3),"█",IF(AND(学校マスタ!$R27&lt;&gt;"",学校マスタ!$U27&lt;&gt;"",学校マスタ!$R27&lt;Y$3+7,学校マスタ!$U27&gt;=Y$3),"▒","")))))</f>
        <v/>
      </c>
      <c r="Z29" s="26">
        <f>IF(学校マスタ!$A27="","",IF(AND(学校マスタ!$U27&lt;&gt;"",学校マスタ!$U27&gt;=Z$3,学校マスタ!$U27&lt;Z$3+7),"◎",IF(OR(AND(学校マスタ!$H27&lt;&gt;"",学校マスタ!$H27&gt;=Z$3,学校マスタ!$H27&lt;Z$3+7),AND(学校マスタ!$J27&lt;&gt;"",学校マスタ!$J27&gt;=Z$3,学校マスタ!$J27&lt;Z$3+7),AND(学校マスタ!$L27&lt;&gt;"",学校マスタ!$L27&gt;=Z$3,学校マスタ!$L27&lt;Z$3+7)),"◆",IF(AND(学校マスタ!$O27&lt;&gt;"",学校マスタ!$P27&lt;&gt;"",学校マスタ!$O27&lt;Z$3+7,学校マスタ!$P27&gt;=Z$3),"█",IF(AND(学校マスタ!$R27&lt;&gt;"",学校マスタ!$U27&lt;&gt;"",学校マスタ!$R27&lt;Z$3+7,学校マスタ!$U27&gt;=Z$3),"▒","")))))</f>
        <v/>
      </c>
      <c r="AA29" s="26">
        <f>IF(学校マスタ!$A27="","",IF(AND(学校マスタ!$U27&lt;&gt;"",学校マスタ!$U27&gt;=AA$3,学校マスタ!$U27&lt;AA$3+7),"◎",IF(OR(AND(学校マスタ!$H27&lt;&gt;"",学校マスタ!$H27&gt;=AA$3,学校マスタ!$H27&lt;AA$3+7),AND(学校マスタ!$J27&lt;&gt;"",学校マスタ!$J27&gt;=AA$3,学校マスタ!$J27&lt;AA$3+7),AND(学校マスタ!$L27&lt;&gt;"",学校マスタ!$L27&gt;=AA$3,学校マスタ!$L27&lt;AA$3+7)),"◆",IF(AND(学校マスタ!$O27&lt;&gt;"",学校マスタ!$P27&lt;&gt;"",学校マスタ!$O27&lt;AA$3+7,学校マスタ!$P27&gt;=AA$3),"█",IF(AND(学校マスタ!$R27&lt;&gt;"",学校マスタ!$U27&lt;&gt;"",学校マスタ!$R27&lt;AA$3+7,学校マスタ!$U27&gt;=AA$3),"▒","")))))</f>
        <v/>
      </c>
      <c r="AB29" s="26">
        <f>IF(学校マスタ!$A27="","",IF(AND(学校マスタ!$U27&lt;&gt;"",学校マスタ!$U27&gt;=AB$3,学校マスタ!$U27&lt;AB$3+7),"◎",IF(OR(AND(学校マスタ!$H27&lt;&gt;"",学校マスタ!$H27&gt;=AB$3,学校マスタ!$H27&lt;AB$3+7),AND(学校マスタ!$J27&lt;&gt;"",学校マスタ!$J27&gt;=AB$3,学校マスタ!$J27&lt;AB$3+7),AND(学校マスタ!$L27&lt;&gt;"",学校マスタ!$L27&gt;=AB$3,学校マスタ!$L27&lt;AB$3+7)),"◆",IF(AND(学校マスタ!$O27&lt;&gt;"",学校マスタ!$P27&lt;&gt;"",学校マスタ!$O27&lt;AB$3+7,学校マスタ!$P27&gt;=AB$3),"█",IF(AND(学校マスタ!$R27&lt;&gt;"",学校マスタ!$U27&lt;&gt;"",学校マスタ!$R27&lt;AB$3+7,学校マスタ!$U27&gt;=AB$3),"▒","")))))</f>
        <v/>
      </c>
    </row>
    <row r="30">
      <c r="A30" s="19">
        <f>IF(学校マスタ!$A28="","",学校マスタ!$A28)</f>
        <v/>
      </c>
      <c r="B30" s="19">
        <f>IF(学校マスタ!$A28="","",学校マスタ!$C28)</f>
        <v/>
      </c>
      <c r="C30" s="19">
        <f>IF(学校マスタ!$A28="","",学校マスタ!$X28)</f>
        <v/>
      </c>
      <c r="D30" s="25">
        <f>IF(学校マスタ!$A28="","",学校マスタ!$R28)</f>
        <v/>
      </c>
      <c r="E30" s="26">
        <f>IF(学校マスタ!$A28="","",IF(AND(学校マスタ!$U28&lt;&gt;"",学校マスタ!$U28&gt;=E$3,学校マスタ!$U28&lt;E$3+7),"◎",IF(OR(AND(学校マスタ!$H28&lt;&gt;"",学校マスタ!$H28&gt;=E$3,学校マスタ!$H28&lt;E$3+7),AND(学校マスタ!$J28&lt;&gt;"",学校マスタ!$J28&gt;=E$3,学校マスタ!$J28&lt;E$3+7),AND(学校マスタ!$L28&lt;&gt;"",学校マスタ!$L28&gt;=E$3,学校マスタ!$L28&lt;E$3+7)),"◆",IF(AND(学校マスタ!$O28&lt;&gt;"",学校マスタ!$P28&lt;&gt;"",学校マスタ!$O28&lt;E$3+7,学校マスタ!$P28&gt;=E$3),"█",IF(AND(学校マスタ!$R28&lt;&gt;"",学校マスタ!$U28&lt;&gt;"",学校マスタ!$R28&lt;E$3+7,学校マスタ!$U28&gt;=E$3),"▒","")))))</f>
        <v/>
      </c>
      <c r="F30" s="26">
        <f>IF(学校マスタ!$A28="","",IF(AND(学校マスタ!$U28&lt;&gt;"",学校マスタ!$U28&gt;=F$3,学校マスタ!$U28&lt;F$3+7),"◎",IF(OR(AND(学校マスタ!$H28&lt;&gt;"",学校マスタ!$H28&gt;=F$3,学校マスタ!$H28&lt;F$3+7),AND(学校マスタ!$J28&lt;&gt;"",学校マスタ!$J28&gt;=F$3,学校マスタ!$J28&lt;F$3+7),AND(学校マスタ!$L28&lt;&gt;"",学校マスタ!$L28&gt;=F$3,学校マスタ!$L28&lt;F$3+7)),"◆",IF(AND(学校マスタ!$O28&lt;&gt;"",学校マスタ!$P28&lt;&gt;"",学校マスタ!$O28&lt;F$3+7,学校マスタ!$P28&gt;=F$3),"█",IF(AND(学校マスタ!$R28&lt;&gt;"",学校マスタ!$U28&lt;&gt;"",学校マスタ!$R28&lt;F$3+7,学校マスタ!$U28&gt;=F$3),"▒","")))))</f>
        <v/>
      </c>
      <c r="G30" s="26">
        <f>IF(学校マスタ!$A28="","",IF(AND(学校マスタ!$U28&lt;&gt;"",学校マスタ!$U28&gt;=G$3,学校マスタ!$U28&lt;G$3+7),"◎",IF(OR(AND(学校マスタ!$H28&lt;&gt;"",学校マスタ!$H28&gt;=G$3,学校マスタ!$H28&lt;G$3+7),AND(学校マスタ!$J28&lt;&gt;"",学校マスタ!$J28&gt;=G$3,学校マスタ!$J28&lt;G$3+7),AND(学校マスタ!$L28&lt;&gt;"",学校マスタ!$L28&gt;=G$3,学校マスタ!$L28&lt;G$3+7)),"◆",IF(AND(学校マスタ!$O28&lt;&gt;"",学校マスタ!$P28&lt;&gt;"",学校マスタ!$O28&lt;G$3+7,学校マスタ!$P28&gt;=G$3),"█",IF(AND(学校マスタ!$R28&lt;&gt;"",学校マスタ!$U28&lt;&gt;"",学校マスタ!$R28&lt;G$3+7,学校マスタ!$U28&gt;=G$3),"▒","")))))</f>
        <v/>
      </c>
      <c r="H30" s="26">
        <f>IF(学校マスタ!$A28="","",IF(AND(学校マスタ!$U28&lt;&gt;"",学校マスタ!$U28&gt;=H$3,学校マスタ!$U28&lt;H$3+7),"◎",IF(OR(AND(学校マスタ!$H28&lt;&gt;"",学校マスタ!$H28&gt;=H$3,学校マスタ!$H28&lt;H$3+7),AND(学校マスタ!$J28&lt;&gt;"",学校マスタ!$J28&gt;=H$3,学校マスタ!$J28&lt;H$3+7),AND(学校マスタ!$L28&lt;&gt;"",学校マスタ!$L28&gt;=H$3,学校マスタ!$L28&lt;H$3+7)),"◆",IF(AND(学校マスタ!$O28&lt;&gt;"",学校マスタ!$P28&lt;&gt;"",学校マスタ!$O28&lt;H$3+7,学校マスタ!$P28&gt;=H$3),"█",IF(AND(学校マスタ!$R28&lt;&gt;"",学校マスタ!$U28&lt;&gt;"",学校マスタ!$R28&lt;H$3+7,学校マスタ!$U28&gt;=H$3),"▒","")))))</f>
        <v/>
      </c>
      <c r="I30" s="26">
        <f>IF(学校マスタ!$A28="","",IF(AND(学校マスタ!$U28&lt;&gt;"",学校マスタ!$U28&gt;=I$3,学校マスタ!$U28&lt;I$3+7),"◎",IF(OR(AND(学校マスタ!$H28&lt;&gt;"",学校マスタ!$H28&gt;=I$3,学校マスタ!$H28&lt;I$3+7),AND(学校マスタ!$J28&lt;&gt;"",学校マスタ!$J28&gt;=I$3,学校マスタ!$J28&lt;I$3+7),AND(学校マスタ!$L28&lt;&gt;"",学校マスタ!$L28&gt;=I$3,学校マスタ!$L28&lt;I$3+7)),"◆",IF(AND(学校マスタ!$O28&lt;&gt;"",学校マスタ!$P28&lt;&gt;"",学校マスタ!$O28&lt;I$3+7,学校マスタ!$P28&gt;=I$3),"█",IF(AND(学校マスタ!$R28&lt;&gt;"",学校マスタ!$U28&lt;&gt;"",学校マスタ!$R28&lt;I$3+7,学校マスタ!$U28&gt;=I$3),"▒","")))))</f>
        <v/>
      </c>
      <c r="J30" s="26">
        <f>IF(学校マスタ!$A28="","",IF(AND(学校マスタ!$U28&lt;&gt;"",学校マスタ!$U28&gt;=J$3,学校マスタ!$U28&lt;J$3+7),"◎",IF(OR(AND(学校マスタ!$H28&lt;&gt;"",学校マスタ!$H28&gt;=J$3,学校マスタ!$H28&lt;J$3+7),AND(学校マスタ!$J28&lt;&gt;"",学校マスタ!$J28&gt;=J$3,学校マスタ!$J28&lt;J$3+7),AND(学校マスタ!$L28&lt;&gt;"",学校マスタ!$L28&gt;=J$3,学校マスタ!$L28&lt;J$3+7)),"◆",IF(AND(学校マスタ!$O28&lt;&gt;"",学校マスタ!$P28&lt;&gt;"",学校マスタ!$O28&lt;J$3+7,学校マスタ!$P28&gt;=J$3),"█",IF(AND(学校マスタ!$R28&lt;&gt;"",学校マスタ!$U28&lt;&gt;"",学校マスタ!$R28&lt;J$3+7,学校マスタ!$U28&gt;=J$3),"▒","")))))</f>
        <v/>
      </c>
      <c r="K30" s="26">
        <f>IF(学校マスタ!$A28="","",IF(AND(学校マスタ!$U28&lt;&gt;"",学校マスタ!$U28&gt;=K$3,学校マスタ!$U28&lt;K$3+7),"◎",IF(OR(AND(学校マスタ!$H28&lt;&gt;"",学校マスタ!$H28&gt;=K$3,学校マスタ!$H28&lt;K$3+7),AND(学校マスタ!$J28&lt;&gt;"",学校マスタ!$J28&gt;=K$3,学校マスタ!$J28&lt;K$3+7),AND(学校マスタ!$L28&lt;&gt;"",学校マスタ!$L28&gt;=K$3,学校マスタ!$L28&lt;K$3+7)),"◆",IF(AND(学校マスタ!$O28&lt;&gt;"",学校マスタ!$P28&lt;&gt;"",学校マスタ!$O28&lt;K$3+7,学校マスタ!$P28&gt;=K$3),"█",IF(AND(学校マスタ!$R28&lt;&gt;"",学校マスタ!$U28&lt;&gt;"",学校マスタ!$R28&lt;K$3+7,学校マスタ!$U28&gt;=K$3),"▒","")))))</f>
        <v/>
      </c>
      <c r="L30" s="26">
        <f>IF(学校マスタ!$A28="","",IF(AND(学校マスタ!$U28&lt;&gt;"",学校マスタ!$U28&gt;=L$3,学校マスタ!$U28&lt;L$3+7),"◎",IF(OR(AND(学校マスタ!$H28&lt;&gt;"",学校マスタ!$H28&gt;=L$3,学校マスタ!$H28&lt;L$3+7),AND(学校マスタ!$J28&lt;&gt;"",学校マスタ!$J28&gt;=L$3,学校マスタ!$J28&lt;L$3+7),AND(学校マスタ!$L28&lt;&gt;"",学校マスタ!$L28&gt;=L$3,学校マスタ!$L28&lt;L$3+7)),"◆",IF(AND(学校マスタ!$O28&lt;&gt;"",学校マスタ!$P28&lt;&gt;"",学校マスタ!$O28&lt;L$3+7,学校マスタ!$P28&gt;=L$3),"█",IF(AND(学校マスタ!$R28&lt;&gt;"",学校マスタ!$U28&lt;&gt;"",学校マスタ!$R28&lt;L$3+7,学校マスタ!$U28&gt;=L$3),"▒","")))))</f>
        <v/>
      </c>
      <c r="M30" s="26">
        <f>IF(学校マスタ!$A28="","",IF(AND(学校マスタ!$U28&lt;&gt;"",学校マスタ!$U28&gt;=M$3,学校マスタ!$U28&lt;M$3+7),"◎",IF(OR(AND(学校マスタ!$H28&lt;&gt;"",学校マスタ!$H28&gt;=M$3,学校マスタ!$H28&lt;M$3+7),AND(学校マスタ!$J28&lt;&gt;"",学校マスタ!$J28&gt;=M$3,学校マスタ!$J28&lt;M$3+7),AND(学校マスタ!$L28&lt;&gt;"",学校マスタ!$L28&gt;=M$3,学校マスタ!$L28&lt;M$3+7)),"◆",IF(AND(学校マスタ!$O28&lt;&gt;"",学校マスタ!$P28&lt;&gt;"",学校マスタ!$O28&lt;M$3+7,学校マスタ!$P28&gt;=M$3),"█",IF(AND(学校マスタ!$R28&lt;&gt;"",学校マスタ!$U28&lt;&gt;"",学校マスタ!$R28&lt;M$3+7,学校マスタ!$U28&gt;=M$3),"▒","")))))</f>
        <v/>
      </c>
      <c r="N30" s="26">
        <f>IF(学校マスタ!$A28="","",IF(AND(学校マスタ!$U28&lt;&gt;"",学校マスタ!$U28&gt;=N$3,学校マスタ!$U28&lt;N$3+7),"◎",IF(OR(AND(学校マスタ!$H28&lt;&gt;"",学校マスタ!$H28&gt;=N$3,学校マスタ!$H28&lt;N$3+7),AND(学校マスタ!$J28&lt;&gt;"",学校マスタ!$J28&gt;=N$3,学校マスタ!$J28&lt;N$3+7),AND(学校マスタ!$L28&lt;&gt;"",学校マスタ!$L28&gt;=N$3,学校マスタ!$L28&lt;N$3+7)),"◆",IF(AND(学校マスタ!$O28&lt;&gt;"",学校マスタ!$P28&lt;&gt;"",学校マスタ!$O28&lt;N$3+7,学校マスタ!$P28&gt;=N$3),"█",IF(AND(学校マスタ!$R28&lt;&gt;"",学校マスタ!$U28&lt;&gt;"",学校マスタ!$R28&lt;N$3+7,学校マスタ!$U28&gt;=N$3),"▒","")))))</f>
        <v/>
      </c>
      <c r="O30" s="26">
        <f>IF(学校マスタ!$A28="","",IF(AND(学校マスタ!$U28&lt;&gt;"",学校マスタ!$U28&gt;=O$3,学校マスタ!$U28&lt;O$3+7),"◎",IF(OR(AND(学校マスタ!$H28&lt;&gt;"",学校マスタ!$H28&gt;=O$3,学校マスタ!$H28&lt;O$3+7),AND(学校マスタ!$J28&lt;&gt;"",学校マスタ!$J28&gt;=O$3,学校マスタ!$J28&lt;O$3+7),AND(学校マスタ!$L28&lt;&gt;"",学校マスタ!$L28&gt;=O$3,学校マスタ!$L28&lt;O$3+7)),"◆",IF(AND(学校マスタ!$O28&lt;&gt;"",学校マスタ!$P28&lt;&gt;"",学校マスタ!$O28&lt;O$3+7,学校マスタ!$P28&gt;=O$3),"█",IF(AND(学校マスタ!$R28&lt;&gt;"",学校マスタ!$U28&lt;&gt;"",学校マスタ!$R28&lt;O$3+7,学校マスタ!$U28&gt;=O$3),"▒","")))))</f>
        <v/>
      </c>
      <c r="P30" s="26">
        <f>IF(学校マスタ!$A28="","",IF(AND(学校マスタ!$U28&lt;&gt;"",学校マスタ!$U28&gt;=P$3,学校マスタ!$U28&lt;P$3+7),"◎",IF(OR(AND(学校マスタ!$H28&lt;&gt;"",学校マスタ!$H28&gt;=P$3,学校マスタ!$H28&lt;P$3+7),AND(学校マスタ!$J28&lt;&gt;"",学校マスタ!$J28&gt;=P$3,学校マスタ!$J28&lt;P$3+7),AND(学校マスタ!$L28&lt;&gt;"",学校マスタ!$L28&gt;=P$3,学校マスタ!$L28&lt;P$3+7)),"◆",IF(AND(学校マスタ!$O28&lt;&gt;"",学校マスタ!$P28&lt;&gt;"",学校マスタ!$O28&lt;P$3+7,学校マスタ!$P28&gt;=P$3),"█",IF(AND(学校マスタ!$R28&lt;&gt;"",学校マスタ!$U28&lt;&gt;"",学校マスタ!$R28&lt;P$3+7,学校マスタ!$U28&gt;=P$3),"▒","")))))</f>
        <v/>
      </c>
      <c r="Q30" s="26">
        <f>IF(学校マスタ!$A28="","",IF(AND(学校マスタ!$U28&lt;&gt;"",学校マスタ!$U28&gt;=Q$3,学校マスタ!$U28&lt;Q$3+7),"◎",IF(OR(AND(学校マスタ!$H28&lt;&gt;"",学校マスタ!$H28&gt;=Q$3,学校マスタ!$H28&lt;Q$3+7),AND(学校マスタ!$J28&lt;&gt;"",学校マスタ!$J28&gt;=Q$3,学校マスタ!$J28&lt;Q$3+7),AND(学校マスタ!$L28&lt;&gt;"",学校マスタ!$L28&gt;=Q$3,学校マスタ!$L28&lt;Q$3+7)),"◆",IF(AND(学校マスタ!$O28&lt;&gt;"",学校マスタ!$P28&lt;&gt;"",学校マスタ!$O28&lt;Q$3+7,学校マスタ!$P28&gt;=Q$3),"█",IF(AND(学校マスタ!$R28&lt;&gt;"",学校マスタ!$U28&lt;&gt;"",学校マスタ!$R28&lt;Q$3+7,学校マスタ!$U28&gt;=Q$3),"▒","")))))</f>
        <v/>
      </c>
      <c r="R30" s="26">
        <f>IF(学校マスタ!$A28="","",IF(AND(学校マスタ!$U28&lt;&gt;"",学校マスタ!$U28&gt;=R$3,学校マスタ!$U28&lt;R$3+7),"◎",IF(OR(AND(学校マスタ!$H28&lt;&gt;"",学校マスタ!$H28&gt;=R$3,学校マスタ!$H28&lt;R$3+7),AND(学校マスタ!$J28&lt;&gt;"",学校マスタ!$J28&gt;=R$3,学校マスタ!$J28&lt;R$3+7),AND(学校マスタ!$L28&lt;&gt;"",学校マスタ!$L28&gt;=R$3,学校マスタ!$L28&lt;R$3+7)),"◆",IF(AND(学校マスタ!$O28&lt;&gt;"",学校マスタ!$P28&lt;&gt;"",学校マスタ!$O28&lt;R$3+7,学校マスタ!$P28&gt;=R$3),"█",IF(AND(学校マスタ!$R28&lt;&gt;"",学校マスタ!$U28&lt;&gt;"",学校マスタ!$R28&lt;R$3+7,学校マスタ!$U28&gt;=R$3),"▒","")))))</f>
        <v/>
      </c>
      <c r="S30" s="26">
        <f>IF(学校マスタ!$A28="","",IF(AND(学校マスタ!$U28&lt;&gt;"",学校マスタ!$U28&gt;=S$3,学校マスタ!$U28&lt;S$3+7),"◎",IF(OR(AND(学校マスタ!$H28&lt;&gt;"",学校マスタ!$H28&gt;=S$3,学校マスタ!$H28&lt;S$3+7),AND(学校マスタ!$J28&lt;&gt;"",学校マスタ!$J28&gt;=S$3,学校マスタ!$J28&lt;S$3+7),AND(学校マスタ!$L28&lt;&gt;"",学校マスタ!$L28&gt;=S$3,学校マスタ!$L28&lt;S$3+7)),"◆",IF(AND(学校マスタ!$O28&lt;&gt;"",学校マスタ!$P28&lt;&gt;"",学校マスタ!$O28&lt;S$3+7,学校マスタ!$P28&gt;=S$3),"█",IF(AND(学校マスタ!$R28&lt;&gt;"",学校マスタ!$U28&lt;&gt;"",学校マスタ!$R28&lt;S$3+7,学校マスタ!$U28&gt;=S$3),"▒","")))))</f>
        <v/>
      </c>
      <c r="T30" s="26">
        <f>IF(学校マスタ!$A28="","",IF(AND(学校マスタ!$U28&lt;&gt;"",学校マスタ!$U28&gt;=T$3,学校マスタ!$U28&lt;T$3+7),"◎",IF(OR(AND(学校マスタ!$H28&lt;&gt;"",学校マスタ!$H28&gt;=T$3,学校マスタ!$H28&lt;T$3+7),AND(学校マスタ!$J28&lt;&gt;"",学校マスタ!$J28&gt;=T$3,学校マスタ!$J28&lt;T$3+7),AND(学校マスタ!$L28&lt;&gt;"",学校マスタ!$L28&gt;=T$3,学校マスタ!$L28&lt;T$3+7)),"◆",IF(AND(学校マスタ!$O28&lt;&gt;"",学校マスタ!$P28&lt;&gt;"",学校マスタ!$O28&lt;T$3+7,学校マスタ!$P28&gt;=T$3),"█",IF(AND(学校マスタ!$R28&lt;&gt;"",学校マスタ!$U28&lt;&gt;"",学校マスタ!$R28&lt;T$3+7,学校マスタ!$U28&gt;=T$3),"▒","")))))</f>
        <v/>
      </c>
      <c r="U30" s="26">
        <f>IF(学校マスタ!$A28="","",IF(AND(学校マスタ!$U28&lt;&gt;"",学校マスタ!$U28&gt;=U$3,学校マスタ!$U28&lt;U$3+7),"◎",IF(OR(AND(学校マスタ!$H28&lt;&gt;"",学校マスタ!$H28&gt;=U$3,学校マスタ!$H28&lt;U$3+7),AND(学校マスタ!$J28&lt;&gt;"",学校マスタ!$J28&gt;=U$3,学校マスタ!$J28&lt;U$3+7),AND(学校マスタ!$L28&lt;&gt;"",学校マスタ!$L28&gt;=U$3,学校マスタ!$L28&lt;U$3+7)),"◆",IF(AND(学校マスタ!$O28&lt;&gt;"",学校マスタ!$P28&lt;&gt;"",学校マスタ!$O28&lt;U$3+7,学校マスタ!$P28&gt;=U$3),"█",IF(AND(学校マスタ!$R28&lt;&gt;"",学校マスタ!$U28&lt;&gt;"",学校マスタ!$R28&lt;U$3+7,学校マスタ!$U28&gt;=U$3),"▒","")))))</f>
        <v/>
      </c>
      <c r="V30" s="26">
        <f>IF(学校マスタ!$A28="","",IF(AND(学校マスタ!$U28&lt;&gt;"",学校マスタ!$U28&gt;=V$3,学校マスタ!$U28&lt;V$3+7),"◎",IF(OR(AND(学校マスタ!$H28&lt;&gt;"",学校マスタ!$H28&gt;=V$3,学校マスタ!$H28&lt;V$3+7),AND(学校マスタ!$J28&lt;&gt;"",学校マスタ!$J28&gt;=V$3,学校マスタ!$J28&lt;V$3+7),AND(学校マスタ!$L28&lt;&gt;"",学校マスタ!$L28&gt;=V$3,学校マスタ!$L28&lt;V$3+7)),"◆",IF(AND(学校マスタ!$O28&lt;&gt;"",学校マスタ!$P28&lt;&gt;"",学校マスタ!$O28&lt;V$3+7,学校マスタ!$P28&gt;=V$3),"█",IF(AND(学校マスタ!$R28&lt;&gt;"",学校マスタ!$U28&lt;&gt;"",学校マスタ!$R28&lt;V$3+7,学校マスタ!$U28&gt;=V$3),"▒","")))))</f>
        <v/>
      </c>
      <c r="W30" s="26">
        <f>IF(学校マスタ!$A28="","",IF(AND(学校マスタ!$U28&lt;&gt;"",学校マスタ!$U28&gt;=W$3,学校マスタ!$U28&lt;W$3+7),"◎",IF(OR(AND(学校マスタ!$H28&lt;&gt;"",学校マスタ!$H28&gt;=W$3,学校マスタ!$H28&lt;W$3+7),AND(学校マスタ!$J28&lt;&gt;"",学校マスタ!$J28&gt;=W$3,学校マスタ!$J28&lt;W$3+7),AND(学校マスタ!$L28&lt;&gt;"",学校マスタ!$L28&gt;=W$3,学校マスタ!$L28&lt;W$3+7)),"◆",IF(AND(学校マスタ!$O28&lt;&gt;"",学校マスタ!$P28&lt;&gt;"",学校マスタ!$O28&lt;W$3+7,学校マスタ!$P28&gt;=W$3),"█",IF(AND(学校マスタ!$R28&lt;&gt;"",学校マスタ!$U28&lt;&gt;"",学校マスタ!$R28&lt;W$3+7,学校マスタ!$U28&gt;=W$3),"▒","")))))</f>
        <v/>
      </c>
      <c r="X30" s="26">
        <f>IF(学校マスタ!$A28="","",IF(AND(学校マスタ!$U28&lt;&gt;"",学校マスタ!$U28&gt;=X$3,学校マスタ!$U28&lt;X$3+7),"◎",IF(OR(AND(学校マスタ!$H28&lt;&gt;"",学校マスタ!$H28&gt;=X$3,学校マスタ!$H28&lt;X$3+7),AND(学校マスタ!$J28&lt;&gt;"",学校マスタ!$J28&gt;=X$3,学校マスタ!$J28&lt;X$3+7),AND(学校マスタ!$L28&lt;&gt;"",学校マスタ!$L28&gt;=X$3,学校マスタ!$L28&lt;X$3+7)),"◆",IF(AND(学校マスタ!$O28&lt;&gt;"",学校マスタ!$P28&lt;&gt;"",学校マスタ!$O28&lt;X$3+7,学校マスタ!$P28&gt;=X$3),"█",IF(AND(学校マスタ!$R28&lt;&gt;"",学校マスタ!$U28&lt;&gt;"",学校マスタ!$R28&lt;X$3+7,学校マスタ!$U28&gt;=X$3),"▒","")))))</f>
        <v/>
      </c>
      <c r="Y30" s="26">
        <f>IF(学校マスタ!$A28="","",IF(AND(学校マスタ!$U28&lt;&gt;"",学校マスタ!$U28&gt;=Y$3,学校マスタ!$U28&lt;Y$3+7),"◎",IF(OR(AND(学校マスタ!$H28&lt;&gt;"",学校マスタ!$H28&gt;=Y$3,学校マスタ!$H28&lt;Y$3+7),AND(学校マスタ!$J28&lt;&gt;"",学校マスタ!$J28&gt;=Y$3,学校マスタ!$J28&lt;Y$3+7),AND(学校マスタ!$L28&lt;&gt;"",学校マスタ!$L28&gt;=Y$3,学校マスタ!$L28&lt;Y$3+7)),"◆",IF(AND(学校マスタ!$O28&lt;&gt;"",学校マスタ!$P28&lt;&gt;"",学校マスタ!$O28&lt;Y$3+7,学校マスタ!$P28&gt;=Y$3),"█",IF(AND(学校マスタ!$R28&lt;&gt;"",学校マスタ!$U28&lt;&gt;"",学校マスタ!$R28&lt;Y$3+7,学校マスタ!$U28&gt;=Y$3),"▒","")))))</f>
        <v/>
      </c>
      <c r="Z30" s="26">
        <f>IF(学校マスタ!$A28="","",IF(AND(学校マスタ!$U28&lt;&gt;"",学校マスタ!$U28&gt;=Z$3,学校マスタ!$U28&lt;Z$3+7),"◎",IF(OR(AND(学校マスタ!$H28&lt;&gt;"",学校マスタ!$H28&gt;=Z$3,学校マスタ!$H28&lt;Z$3+7),AND(学校マスタ!$J28&lt;&gt;"",学校マスタ!$J28&gt;=Z$3,学校マスタ!$J28&lt;Z$3+7),AND(学校マスタ!$L28&lt;&gt;"",学校マスタ!$L28&gt;=Z$3,学校マスタ!$L28&lt;Z$3+7)),"◆",IF(AND(学校マスタ!$O28&lt;&gt;"",学校マスタ!$P28&lt;&gt;"",学校マスタ!$O28&lt;Z$3+7,学校マスタ!$P28&gt;=Z$3),"█",IF(AND(学校マスタ!$R28&lt;&gt;"",学校マスタ!$U28&lt;&gt;"",学校マスタ!$R28&lt;Z$3+7,学校マスタ!$U28&gt;=Z$3),"▒","")))))</f>
        <v/>
      </c>
      <c r="AA30" s="26">
        <f>IF(学校マスタ!$A28="","",IF(AND(学校マスタ!$U28&lt;&gt;"",学校マスタ!$U28&gt;=AA$3,学校マスタ!$U28&lt;AA$3+7),"◎",IF(OR(AND(学校マスタ!$H28&lt;&gt;"",学校マスタ!$H28&gt;=AA$3,学校マスタ!$H28&lt;AA$3+7),AND(学校マスタ!$J28&lt;&gt;"",学校マスタ!$J28&gt;=AA$3,学校マスタ!$J28&lt;AA$3+7),AND(学校マスタ!$L28&lt;&gt;"",学校マスタ!$L28&gt;=AA$3,学校マスタ!$L28&lt;AA$3+7)),"◆",IF(AND(学校マスタ!$O28&lt;&gt;"",学校マスタ!$P28&lt;&gt;"",学校マスタ!$O28&lt;AA$3+7,学校マスタ!$P28&gt;=AA$3),"█",IF(AND(学校マスタ!$R28&lt;&gt;"",学校マスタ!$U28&lt;&gt;"",学校マスタ!$R28&lt;AA$3+7,学校マスタ!$U28&gt;=AA$3),"▒","")))))</f>
        <v/>
      </c>
      <c r="AB30" s="26">
        <f>IF(学校マスタ!$A28="","",IF(AND(学校マスタ!$U28&lt;&gt;"",学校マスタ!$U28&gt;=AB$3,学校マスタ!$U28&lt;AB$3+7),"◎",IF(OR(AND(学校マスタ!$H28&lt;&gt;"",学校マスタ!$H28&gt;=AB$3,学校マスタ!$H28&lt;AB$3+7),AND(学校マスタ!$J28&lt;&gt;"",学校マスタ!$J28&gt;=AB$3,学校マスタ!$J28&lt;AB$3+7),AND(学校マスタ!$L28&lt;&gt;"",学校マスタ!$L28&gt;=AB$3,学校マスタ!$L28&lt;AB$3+7)),"◆",IF(AND(学校マスタ!$O28&lt;&gt;"",学校マスタ!$P28&lt;&gt;"",学校マスタ!$O28&lt;AB$3+7,学校マスタ!$P28&gt;=AB$3),"█",IF(AND(学校マスタ!$R28&lt;&gt;"",学校マスタ!$U28&lt;&gt;"",学校マスタ!$R28&lt;AB$3+7,学校マスタ!$U28&gt;=AB$3),"▒","")))))</f>
        <v/>
      </c>
    </row>
    <row r="31">
      <c r="A31" s="19">
        <f>IF(学校マスタ!$A29="","",学校マスタ!$A29)</f>
        <v/>
      </c>
      <c r="B31" s="19">
        <f>IF(学校マスタ!$A29="","",学校マスタ!$C29)</f>
        <v/>
      </c>
      <c r="C31" s="19">
        <f>IF(学校マスタ!$A29="","",学校マスタ!$X29)</f>
        <v/>
      </c>
      <c r="D31" s="25">
        <f>IF(学校マスタ!$A29="","",学校マスタ!$R29)</f>
        <v/>
      </c>
      <c r="E31" s="26">
        <f>IF(学校マスタ!$A29="","",IF(AND(学校マスタ!$U29&lt;&gt;"",学校マスタ!$U29&gt;=E$3,学校マスタ!$U29&lt;E$3+7),"◎",IF(OR(AND(学校マスタ!$H29&lt;&gt;"",学校マスタ!$H29&gt;=E$3,学校マスタ!$H29&lt;E$3+7),AND(学校マスタ!$J29&lt;&gt;"",学校マスタ!$J29&gt;=E$3,学校マスタ!$J29&lt;E$3+7),AND(学校マスタ!$L29&lt;&gt;"",学校マスタ!$L29&gt;=E$3,学校マスタ!$L29&lt;E$3+7)),"◆",IF(AND(学校マスタ!$O29&lt;&gt;"",学校マスタ!$P29&lt;&gt;"",学校マスタ!$O29&lt;E$3+7,学校マスタ!$P29&gt;=E$3),"█",IF(AND(学校マスタ!$R29&lt;&gt;"",学校マスタ!$U29&lt;&gt;"",学校マスタ!$R29&lt;E$3+7,学校マスタ!$U29&gt;=E$3),"▒","")))))</f>
        <v/>
      </c>
      <c r="F31" s="26">
        <f>IF(学校マスタ!$A29="","",IF(AND(学校マスタ!$U29&lt;&gt;"",学校マスタ!$U29&gt;=F$3,学校マスタ!$U29&lt;F$3+7),"◎",IF(OR(AND(学校マスタ!$H29&lt;&gt;"",学校マスタ!$H29&gt;=F$3,学校マスタ!$H29&lt;F$3+7),AND(学校マスタ!$J29&lt;&gt;"",学校マスタ!$J29&gt;=F$3,学校マスタ!$J29&lt;F$3+7),AND(学校マスタ!$L29&lt;&gt;"",学校マスタ!$L29&gt;=F$3,学校マスタ!$L29&lt;F$3+7)),"◆",IF(AND(学校マスタ!$O29&lt;&gt;"",学校マスタ!$P29&lt;&gt;"",学校マスタ!$O29&lt;F$3+7,学校マスタ!$P29&gt;=F$3),"█",IF(AND(学校マスタ!$R29&lt;&gt;"",学校マスタ!$U29&lt;&gt;"",学校マスタ!$R29&lt;F$3+7,学校マスタ!$U29&gt;=F$3),"▒","")))))</f>
        <v/>
      </c>
      <c r="G31" s="26">
        <f>IF(学校マスタ!$A29="","",IF(AND(学校マスタ!$U29&lt;&gt;"",学校マスタ!$U29&gt;=G$3,学校マスタ!$U29&lt;G$3+7),"◎",IF(OR(AND(学校マスタ!$H29&lt;&gt;"",学校マスタ!$H29&gt;=G$3,学校マスタ!$H29&lt;G$3+7),AND(学校マスタ!$J29&lt;&gt;"",学校マスタ!$J29&gt;=G$3,学校マスタ!$J29&lt;G$3+7),AND(学校マスタ!$L29&lt;&gt;"",学校マスタ!$L29&gt;=G$3,学校マスタ!$L29&lt;G$3+7)),"◆",IF(AND(学校マスタ!$O29&lt;&gt;"",学校マスタ!$P29&lt;&gt;"",学校マスタ!$O29&lt;G$3+7,学校マスタ!$P29&gt;=G$3),"█",IF(AND(学校マスタ!$R29&lt;&gt;"",学校マスタ!$U29&lt;&gt;"",学校マスタ!$R29&lt;G$3+7,学校マスタ!$U29&gt;=G$3),"▒","")))))</f>
        <v/>
      </c>
      <c r="H31" s="26">
        <f>IF(学校マスタ!$A29="","",IF(AND(学校マスタ!$U29&lt;&gt;"",学校マスタ!$U29&gt;=H$3,学校マスタ!$U29&lt;H$3+7),"◎",IF(OR(AND(学校マスタ!$H29&lt;&gt;"",学校マスタ!$H29&gt;=H$3,学校マスタ!$H29&lt;H$3+7),AND(学校マスタ!$J29&lt;&gt;"",学校マスタ!$J29&gt;=H$3,学校マスタ!$J29&lt;H$3+7),AND(学校マスタ!$L29&lt;&gt;"",学校マスタ!$L29&gt;=H$3,学校マスタ!$L29&lt;H$3+7)),"◆",IF(AND(学校マスタ!$O29&lt;&gt;"",学校マスタ!$P29&lt;&gt;"",学校マスタ!$O29&lt;H$3+7,学校マスタ!$P29&gt;=H$3),"█",IF(AND(学校マスタ!$R29&lt;&gt;"",学校マスタ!$U29&lt;&gt;"",学校マスタ!$R29&lt;H$3+7,学校マスタ!$U29&gt;=H$3),"▒","")))))</f>
        <v/>
      </c>
      <c r="I31" s="26">
        <f>IF(学校マスタ!$A29="","",IF(AND(学校マスタ!$U29&lt;&gt;"",学校マスタ!$U29&gt;=I$3,学校マスタ!$U29&lt;I$3+7),"◎",IF(OR(AND(学校マスタ!$H29&lt;&gt;"",学校マスタ!$H29&gt;=I$3,学校マスタ!$H29&lt;I$3+7),AND(学校マスタ!$J29&lt;&gt;"",学校マスタ!$J29&gt;=I$3,学校マスタ!$J29&lt;I$3+7),AND(学校マスタ!$L29&lt;&gt;"",学校マスタ!$L29&gt;=I$3,学校マスタ!$L29&lt;I$3+7)),"◆",IF(AND(学校マスタ!$O29&lt;&gt;"",学校マスタ!$P29&lt;&gt;"",学校マスタ!$O29&lt;I$3+7,学校マスタ!$P29&gt;=I$3),"█",IF(AND(学校マスタ!$R29&lt;&gt;"",学校マスタ!$U29&lt;&gt;"",学校マスタ!$R29&lt;I$3+7,学校マスタ!$U29&gt;=I$3),"▒","")))))</f>
        <v/>
      </c>
      <c r="J31" s="26">
        <f>IF(学校マスタ!$A29="","",IF(AND(学校マスタ!$U29&lt;&gt;"",学校マスタ!$U29&gt;=J$3,学校マスタ!$U29&lt;J$3+7),"◎",IF(OR(AND(学校マスタ!$H29&lt;&gt;"",学校マスタ!$H29&gt;=J$3,学校マスタ!$H29&lt;J$3+7),AND(学校マスタ!$J29&lt;&gt;"",学校マスタ!$J29&gt;=J$3,学校マスタ!$J29&lt;J$3+7),AND(学校マスタ!$L29&lt;&gt;"",学校マスタ!$L29&gt;=J$3,学校マスタ!$L29&lt;J$3+7)),"◆",IF(AND(学校マスタ!$O29&lt;&gt;"",学校マスタ!$P29&lt;&gt;"",学校マスタ!$O29&lt;J$3+7,学校マスタ!$P29&gt;=J$3),"█",IF(AND(学校マスタ!$R29&lt;&gt;"",学校マスタ!$U29&lt;&gt;"",学校マスタ!$R29&lt;J$3+7,学校マスタ!$U29&gt;=J$3),"▒","")))))</f>
        <v/>
      </c>
      <c r="K31" s="26">
        <f>IF(学校マスタ!$A29="","",IF(AND(学校マスタ!$U29&lt;&gt;"",学校マスタ!$U29&gt;=K$3,学校マスタ!$U29&lt;K$3+7),"◎",IF(OR(AND(学校マスタ!$H29&lt;&gt;"",学校マスタ!$H29&gt;=K$3,学校マスタ!$H29&lt;K$3+7),AND(学校マスタ!$J29&lt;&gt;"",学校マスタ!$J29&gt;=K$3,学校マスタ!$J29&lt;K$3+7),AND(学校マスタ!$L29&lt;&gt;"",学校マスタ!$L29&gt;=K$3,学校マスタ!$L29&lt;K$3+7)),"◆",IF(AND(学校マスタ!$O29&lt;&gt;"",学校マスタ!$P29&lt;&gt;"",学校マスタ!$O29&lt;K$3+7,学校マスタ!$P29&gt;=K$3),"█",IF(AND(学校マスタ!$R29&lt;&gt;"",学校マスタ!$U29&lt;&gt;"",学校マスタ!$R29&lt;K$3+7,学校マスタ!$U29&gt;=K$3),"▒","")))))</f>
        <v/>
      </c>
      <c r="L31" s="26">
        <f>IF(学校マスタ!$A29="","",IF(AND(学校マスタ!$U29&lt;&gt;"",学校マスタ!$U29&gt;=L$3,学校マスタ!$U29&lt;L$3+7),"◎",IF(OR(AND(学校マスタ!$H29&lt;&gt;"",学校マスタ!$H29&gt;=L$3,学校マスタ!$H29&lt;L$3+7),AND(学校マスタ!$J29&lt;&gt;"",学校マスタ!$J29&gt;=L$3,学校マスタ!$J29&lt;L$3+7),AND(学校マスタ!$L29&lt;&gt;"",学校マスタ!$L29&gt;=L$3,学校マスタ!$L29&lt;L$3+7)),"◆",IF(AND(学校マスタ!$O29&lt;&gt;"",学校マスタ!$P29&lt;&gt;"",学校マスタ!$O29&lt;L$3+7,学校マスタ!$P29&gt;=L$3),"█",IF(AND(学校マスタ!$R29&lt;&gt;"",学校マスタ!$U29&lt;&gt;"",学校マスタ!$R29&lt;L$3+7,学校マスタ!$U29&gt;=L$3),"▒","")))))</f>
        <v/>
      </c>
      <c r="M31" s="26">
        <f>IF(学校マスタ!$A29="","",IF(AND(学校マスタ!$U29&lt;&gt;"",学校マスタ!$U29&gt;=M$3,学校マスタ!$U29&lt;M$3+7),"◎",IF(OR(AND(学校マスタ!$H29&lt;&gt;"",学校マスタ!$H29&gt;=M$3,学校マスタ!$H29&lt;M$3+7),AND(学校マスタ!$J29&lt;&gt;"",学校マスタ!$J29&gt;=M$3,学校マスタ!$J29&lt;M$3+7),AND(学校マスタ!$L29&lt;&gt;"",学校マスタ!$L29&gt;=M$3,学校マスタ!$L29&lt;M$3+7)),"◆",IF(AND(学校マスタ!$O29&lt;&gt;"",学校マスタ!$P29&lt;&gt;"",学校マスタ!$O29&lt;M$3+7,学校マスタ!$P29&gt;=M$3),"█",IF(AND(学校マスタ!$R29&lt;&gt;"",学校マスタ!$U29&lt;&gt;"",学校マスタ!$R29&lt;M$3+7,学校マスタ!$U29&gt;=M$3),"▒","")))))</f>
        <v/>
      </c>
      <c r="N31" s="26">
        <f>IF(学校マスタ!$A29="","",IF(AND(学校マスタ!$U29&lt;&gt;"",学校マスタ!$U29&gt;=N$3,学校マスタ!$U29&lt;N$3+7),"◎",IF(OR(AND(学校マスタ!$H29&lt;&gt;"",学校マスタ!$H29&gt;=N$3,学校マスタ!$H29&lt;N$3+7),AND(学校マスタ!$J29&lt;&gt;"",学校マスタ!$J29&gt;=N$3,学校マスタ!$J29&lt;N$3+7),AND(学校マスタ!$L29&lt;&gt;"",学校マスタ!$L29&gt;=N$3,学校マスタ!$L29&lt;N$3+7)),"◆",IF(AND(学校マスタ!$O29&lt;&gt;"",学校マスタ!$P29&lt;&gt;"",学校マスタ!$O29&lt;N$3+7,学校マスタ!$P29&gt;=N$3),"█",IF(AND(学校マスタ!$R29&lt;&gt;"",学校マスタ!$U29&lt;&gt;"",学校マスタ!$R29&lt;N$3+7,学校マスタ!$U29&gt;=N$3),"▒","")))))</f>
        <v/>
      </c>
      <c r="O31" s="26">
        <f>IF(学校マスタ!$A29="","",IF(AND(学校マスタ!$U29&lt;&gt;"",学校マスタ!$U29&gt;=O$3,学校マスタ!$U29&lt;O$3+7),"◎",IF(OR(AND(学校マスタ!$H29&lt;&gt;"",学校マスタ!$H29&gt;=O$3,学校マスタ!$H29&lt;O$3+7),AND(学校マスタ!$J29&lt;&gt;"",学校マスタ!$J29&gt;=O$3,学校マスタ!$J29&lt;O$3+7),AND(学校マスタ!$L29&lt;&gt;"",学校マスタ!$L29&gt;=O$3,学校マスタ!$L29&lt;O$3+7)),"◆",IF(AND(学校マスタ!$O29&lt;&gt;"",学校マスタ!$P29&lt;&gt;"",学校マスタ!$O29&lt;O$3+7,学校マスタ!$P29&gt;=O$3),"█",IF(AND(学校マスタ!$R29&lt;&gt;"",学校マスタ!$U29&lt;&gt;"",学校マスタ!$R29&lt;O$3+7,学校マスタ!$U29&gt;=O$3),"▒","")))))</f>
        <v/>
      </c>
      <c r="P31" s="26">
        <f>IF(学校マスタ!$A29="","",IF(AND(学校マスタ!$U29&lt;&gt;"",学校マスタ!$U29&gt;=P$3,学校マスタ!$U29&lt;P$3+7),"◎",IF(OR(AND(学校マスタ!$H29&lt;&gt;"",学校マスタ!$H29&gt;=P$3,学校マスタ!$H29&lt;P$3+7),AND(学校マスタ!$J29&lt;&gt;"",学校マスタ!$J29&gt;=P$3,学校マスタ!$J29&lt;P$3+7),AND(学校マスタ!$L29&lt;&gt;"",学校マスタ!$L29&gt;=P$3,学校マスタ!$L29&lt;P$3+7)),"◆",IF(AND(学校マスタ!$O29&lt;&gt;"",学校マスタ!$P29&lt;&gt;"",学校マスタ!$O29&lt;P$3+7,学校マスタ!$P29&gt;=P$3),"█",IF(AND(学校マスタ!$R29&lt;&gt;"",学校マスタ!$U29&lt;&gt;"",学校マスタ!$R29&lt;P$3+7,学校マスタ!$U29&gt;=P$3),"▒","")))))</f>
        <v/>
      </c>
      <c r="Q31" s="26">
        <f>IF(学校マスタ!$A29="","",IF(AND(学校マスタ!$U29&lt;&gt;"",学校マスタ!$U29&gt;=Q$3,学校マスタ!$U29&lt;Q$3+7),"◎",IF(OR(AND(学校マスタ!$H29&lt;&gt;"",学校マスタ!$H29&gt;=Q$3,学校マスタ!$H29&lt;Q$3+7),AND(学校マスタ!$J29&lt;&gt;"",学校マスタ!$J29&gt;=Q$3,学校マスタ!$J29&lt;Q$3+7),AND(学校マスタ!$L29&lt;&gt;"",学校マスタ!$L29&gt;=Q$3,学校マスタ!$L29&lt;Q$3+7)),"◆",IF(AND(学校マスタ!$O29&lt;&gt;"",学校マスタ!$P29&lt;&gt;"",学校マスタ!$O29&lt;Q$3+7,学校マスタ!$P29&gt;=Q$3),"█",IF(AND(学校マスタ!$R29&lt;&gt;"",学校マスタ!$U29&lt;&gt;"",学校マスタ!$R29&lt;Q$3+7,学校マスタ!$U29&gt;=Q$3),"▒","")))))</f>
        <v/>
      </c>
      <c r="R31" s="26">
        <f>IF(学校マスタ!$A29="","",IF(AND(学校マスタ!$U29&lt;&gt;"",学校マスタ!$U29&gt;=R$3,学校マスタ!$U29&lt;R$3+7),"◎",IF(OR(AND(学校マスタ!$H29&lt;&gt;"",学校マスタ!$H29&gt;=R$3,学校マスタ!$H29&lt;R$3+7),AND(学校マスタ!$J29&lt;&gt;"",学校マスタ!$J29&gt;=R$3,学校マスタ!$J29&lt;R$3+7),AND(学校マスタ!$L29&lt;&gt;"",学校マスタ!$L29&gt;=R$3,学校マスタ!$L29&lt;R$3+7)),"◆",IF(AND(学校マスタ!$O29&lt;&gt;"",学校マスタ!$P29&lt;&gt;"",学校マスタ!$O29&lt;R$3+7,学校マスタ!$P29&gt;=R$3),"█",IF(AND(学校マスタ!$R29&lt;&gt;"",学校マスタ!$U29&lt;&gt;"",学校マスタ!$R29&lt;R$3+7,学校マスタ!$U29&gt;=R$3),"▒","")))))</f>
        <v/>
      </c>
      <c r="S31" s="26">
        <f>IF(学校マスタ!$A29="","",IF(AND(学校マスタ!$U29&lt;&gt;"",学校マスタ!$U29&gt;=S$3,学校マスタ!$U29&lt;S$3+7),"◎",IF(OR(AND(学校マスタ!$H29&lt;&gt;"",学校マスタ!$H29&gt;=S$3,学校マスタ!$H29&lt;S$3+7),AND(学校マスタ!$J29&lt;&gt;"",学校マスタ!$J29&gt;=S$3,学校マスタ!$J29&lt;S$3+7),AND(学校マスタ!$L29&lt;&gt;"",学校マスタ!$L29&gt;=S$3,学校マスタ!$L29&lt;S$3+7)),"◆",IF(AND(学校マスタ!$O29&lt;&gt;"",学校マスタ!$P29&lt;&gt;"",学校マスタ!$O29&lt;S$3+7,学校マスタ!$P29&gt;=S$3),"█",IF(AND(学校マスタ!$R29&lt;&gt;"",学校マスタ!$U29&lt;&gt;"",学校マスタ!$R29&lt;S$3+7,学校マスタ!$U29&gt;=S$3),"▒","")))))</f>
        <v/>
      </c>
      <c r="T31" s="26">
        <f>IF(学校マスタ!$A29="","",IF(AND(学校マスタ!$U29&lt;&gt;"",学校マスタ!$U29&gt;=T$3,学校マスタ!$U29&lt;T$3+7),"◎",IF(OR(AND(学校マスタ!$H29&lt;&gt;"",学校マスタ!$H29&gt;=T$3,学校マスタ!$H29&lt;T$3+7),AND(学校マスタ!$J29&lt;&gt;"",学校マスタ!$J29&gt;=T$3,学校マスタ!$J29&lt;T$3+7),AND(学校マスタ!$L29&lt;&gt;"",学校マスタ!$L29&gt;=T$3,学校マスタ!$L29&lt;T$3+7)),"◆",IF(AND(学校マスタ!$O29&lt;&gt;"",学校マスタ!$P29&lt;&gt;"",学校マスタ!$O29&lt;T$3+7,学校マスタ!$P29&gt;=T$3),"█",IF(AND(学校マスタ!$R29&lt;&gt;"",学校マスタ!$U29&lt;&gt;"",学校マスタ!$R29&lt;T$3+7,学校マスタ!$U29&gt;=T$3),"▒","")))))</f>
        <v/>
      </c>
      <c r="U31" s="26">
        <f>IF(学校マスタ!$A29="","",IF(AND(学校マスタ!$U29&lt;&gt;"",学校マスタ!$U29&gt;=U$3,学校マスタ!$U29&lt;U$3+7),"◎",IF(OR(AND(学校マスタ!$H29&lt;&gt;"",学校マスタ!$H29&gt;=U$3,学校マスタ!$H29&lt;U$3+7),AND(学校マスタ!$J29&lt;&gt;"",学校マスタ!$J29&gt;=U$3,学校マスタ!$J29&lt;U$3+7),AND(学校マスタ!$L29&lt;&gt;"",学校マスタ!$L29&gt;=U$3,学校マスタ!$L29&lt;U$3+7)),"◆",IF(AND(学校マスタ!$O29&lt;&gt;"",学校マスタ!$P29&lt;&gt;"",学校マスタ!$O29&lt;U$3+7,学校マスタ!$P29&gt;=U$3),"█",IF(AND(学校マスタ!$R29&lt;&gt;"",学校マスタ!$U29&lt;&gt;"",学校マスタ!$R29&lt;U$3+7,学校マスタ!$U29&gt;=U$3),"▒","")))))</f>
        <v/>
      </c>
      <c r="V31" s="26">
        <f>IF(学校マスタ!$A29="","",IF(AND(学校マスタ!$U29&lt;&gt;"",学校マスタ!$U29&gt;=V$3,学校マスタ!$U29&lt;V$3+7),"◎",IF(OR(AND(学校マスタ!$H29&lt;&gt;"",学校マスタ!$H29&gt;=V$3,学校マスタ!$H29&lt;V$3+7),AND(学校マスタ!$J29&lt;&gt;"",学校マスタ!$J29&gt;=V$3,学校マスタ!$J29&lt;V$3+7),AND(学校マスタ!$L29&lt;&gt;"",学校マスタ!$L29&gt;=V$3,学校マスタ!$L29&lt;V$3+7)),"◆",IF(AND(学校マスタ!$O29&lt;&gt;"",学校マスタ!$P29&lt;&gt;"",学校マスタ!$O29&lt;V$3+7,学校マスタ!$P29&gt;=V$3),"█",IF(AND(学校マスタ!$R29&lt;&gt;"",学校マスタ!$U29&lt;&gt;"",学校マスタ!$R29&lt;V$3+7,学校マスタ!$U29&gt;=V$3),"▒","")))))</f>
        <v/>
      </c>
      <c r="W31" s="26">
        <f>IF(学校マスタ!$A29="","",IF(AND(学校マスタ!$U29&lt;&gt;"",学校マスタ!$U29&gt;=W$3,学校マスタ!$U29&lt;W$3+7),"◎",IF(OR(AND(学校マスタ!$H29&lt;&gt;"",学校マスタ!$H29&gt;=W$3,学校マスタ!$H29&lt;W$3+7),AND(学校マスタ!$J29&lt;&gt;"",学校マスタ!$J29&gt;=W$3,学校マスタ!$J29&lt;W$3+7),AND(学校マスタ!$L29&lt;&gt;"",学校マスタ!$L29&gt;=W$3,学校マスタ!$L29&lt;W$3+7)),"◆",IF(AND(学校マスタ!$O29&lt;&gt;"",学校マスタ!$P29&lt;&gt;"",学校マスタ!$O29&lt;W$3+7,学校マスタ!$P29&gt;=W$3),"█",IF(AND(学校マスタ!$R29&lt;&gt;"",学校マスタ!$U29&lt;&gt;"",学校マスタ!$R29&lt;W$3+7,学校マスタ!$U29&gt;=W$3),"▒","")))))</f>
        <v/>
      </c>
      <c r="X31" s="26">
        <f>IF(学校マスタ!$A29="","",IF(AND(学校マスタ!$U29&lt;&gt;"",学校マスタ!$U29&gt;=X$3,学校マスタ!$U29&lt;X$3+7),"◎",IF(OR(AND(学校マスタ!$H29&lt;&gt;"",学校マスタ!$H29&gt;=X$3,学校マスタ!$H29&lt;X$3+7),AND(学校マスタ!$J29&lt;&gt;"",学校マスタ!$J29&gt;=X$3,学校マスタ!$J29&lt;X$3+7),AND(学校マスタ!$L29&lt;&gt;"",学校マスタ!$L29&gt;=X$3,学校マスタ!$L29&lt;X$3+7)),"◆",IF(AND(学校マスタ!$O29&lt;&gt;"",学校マスタ!$P29&lt;&gt;"",学校マスタ!$O29&lt;X$3+7,学校マスタ!$P29&gt;=X$3),"█",IF(AND(学校マスタ!$R29&lt;&gt;"",学校マスタ!$U29&lt;&gt;"",学校マスタ!$R29&lt;X$3+7,学校マスタ!$U29&gt;=X$3),"▒","")))))</f>
        <v/>
      </c>
      <c r="Y31" s="26">
        <f>IF(学校マスタ!$A29="","",IF(AND(学校マスタ!$U29&lt;&gt;"",学校マスタ!$U29&gt;=Y$3,学校マスタ!$U29&lt;Y$3+7),"◎",IF(OR(AND(学校マスタ!$H29&lt;&gt;"",学校マスタ!$H29&gt;=Y$3,学校マスタ!$H29&lt;Y$3+7),AND(学校マスタ!$J29&lt;&gt;"",学校マスタ!$J29&gt;=Y$3,学校マスタ!$J29&lt;Y$3+7),AND(学校マスタ!$L29&lt;&gt;"",学校マスタ!$L29&gt;=Y$3,学校マスタ!$L29&lt;Y$3+7)),"◆",IF(AND(学校マスタ!$O29&lt;&gt;"",学校マスタ!$P29&lt;&gt;"",学校マスタ!$O29&lt;Y$3+7,学校マスタ!$P29&gt;=Y$3),"█",IF(AND(学校マスタ!$R29&lt;&gt;"",学校マスタ!$U29&lt;&gt;"",学校マスタ!$R29&lt;Y$3+7,学校マスタ!$U29&gt;=Y$3),"▒","")))))</f>
        <v/>
      </c>
      <c r="Z31" s="26">
        <f>IF(学校マスタ!$A29="","",IF(AND(学校マスタ!$U29&lt;&gt;"",学校マスタ!$U29&gt;=Z$3,学校マスタ!$U29&lt;Z$3+7),"◎",IF(OR(AND(学校マスタ!$H29&lt;&gt;"",学校マスタ!$H29&gt;=Z$3,学校マスタ!$H29&lt;Z$3+7),AND(学校マスタ!$J29&lt;&gt;"",学校マスタ!$J29&gt;=Z$3,学校マスタ!$J29&lt;Z$3+7),AND(学校マスタ!$L29&lt;&gt;"",学校マスタ!$L29&gt;=Z$3,学校マスタ!$L29&lt;Z$3+7)),"◆",IF(AND(学校マスタ!$O29&lt;&gt;"",学校マスタ!$P29&lt;&gt;"",学校マスタ!$O29&lt;Z$3+7,学校マスタ!$P29&gt;=Z$3),"█",IF(AND(学校マスタ!$R29&lt;&gt;"",学校マスタ!$U29&lt;&gt;"",学校マスタ!$R29&lt;Z$3+7,学校マスタ!$U29&gt;=Z$3),"▒","")))))</f>
        <v/>
      </c>
      <c r="AA31" s="26">
        <f>IF(学校マスタ!$A29="","",IF(AND(学校マスタ!$U29&lt;&gt;"",学校マスタ!$U29&gt;=AA$3,学校マスタ!$U29&lt;AA$3+7),"◎",IF(OR(AND(学校マスタ!$H29&lt;&gt;"",学校マスタ!$H29&gt;=AA$3,学校マスタ!$H29&lt;AA$3+7),AND(学校マスタ!$J29&lt;&gt;"",学校マスタ!$J29&gt;=AA$3,学校マスタ!$J29&lt;AA$3+7),AND(学校マスタ!$L29&lt;&gt;"",学校マスタ!$L29&gt;=AA$3,学校マスタ!$L29&lt;AA$3+7)),"◆",IF(AND(学校マスタ!$O29&lt;&gt;"",学校マスタ!$P29&lt;&gt;"",学校マスタ!$O29&lt;AA$3+7,学校マスタ!$P29&gt;=AA$3),"█",IF(AND(学校マスタ!$R29&lt;&gt;"",学校マスタ!$U29&lt;&gt;"",学校マスタ!$R29&lt;AA$3+7,学校マスタ!$U29&gt;=AA$3),"▒","")))))</f>
        <v/>
      </c>
      <c r="AB31" s="26">
        <f>IF(学校マスタ!$A29="","",IF(AND(学校マスタ!$U29&lt;&gt;"",学校マスタ!$U29&gt;=AB$3,学校マスタ!$U29&lt;AB$3+7),"◎",IF(OR(AND(学校マスタ!$H29&lt;&gt;"",学校マスタ!$H29&gt;=AB$3,学校マスタ!$H29&lt;AB$3+7),AND(学校マスタ!$J29&lt;&gt;"",学校マスタ!$J29&gt;=AB$3,学校マスタ!$J29&lt;AB$3+7),AND(学校マスタ!$L29&lt;&gt;"",学校マスタ!$L29&gt;=AB$3,学校マスタ!$L29&lt;AB$3+7)),"◆",IF(AND(学校マスタ!$O29&lt;&gt;"",学校マスタ!$P29&lt;&gt;"",学校マスタ!$O29&lt;AB$3+7,学校マスタ!$P29&gt;=AB$3),"█",IF(AND(学校マスタ!$R29&lt;&gt;"",学校マスタ!$U29&lt;&gt;"",学校マスタ!$R29&lt;AB$3+7,学校マスタ!$U29&gt;=AB$3),"▒","")))))</f>
        <v/>
      </c>
    </row>
    <row r="32">
      <c r="A32" s="19">
        <f>IF(学校マスタ!$A30="","",学校マスタ!$A30)</f>
        <v/>
      </c>
      <c r="B32" s="19">
        <f>IF(学校マスタ!$A30="","",学校マスタ!$C30)</f>
        <v/>
      </c>
      <c r="C32" s="19">
        <f>IF(学校マスタ!$A30="","",学校マスタ!$X30)</f>
        <v/>
      </c>
      <c r="D32" s="25">
        <f>IF(学校マスタ!$A30="","",学校マスタ!$R30)</f>
        <v/>
      </c>
      <c r="E32" s="26">
        <f>IF(学校マスタ!$A30="","",IF(AND(学校マスタ!$U30&lt;&gt;"",学校マスタ!$U30&gt;=E$3,学校マスタ!$U30&lt;E$3+7),"◎",IF(OR(AND(学校マスタ!$H30&lt;&gt;"",学校マスタ!$H30&gt;=E$3,学校マスタ!$H30&lt;E$3+7),AND(学校マスタ!$J30&lt;&gt;"",学校マスタ!$J30&gt;=E$3,学校マスタ!$J30&lt;E$3+7),AND(学校マスタ!$L30&lt;&gt;"",学校マスタ!$L30&gt;=E$3,学校マスタ!$L30&lt;E$3+7)),"◆",IF(AND(学校マスタ!$O30&lt;&gt;"",学校マスタ!$P30&lt;&gt;"",学校マスタ!$O30&lt;E$3+7,学校マスタ!$P30&gt;=E$3),"█",IF(AND(学校マスタ!$R30&lt;&gt;"",学校マスタ!$U30&lt;&gt;"",学校マスタ!$R30&lt;E$3+7,学校マスタ!$U30&gt;=E$3),"▒","")))))</f>
        <v/>
      </c>
      <c r="F32" s="26">
        <f>IF(学校マスタ!$A30="","",IF(AND(学校マスタ!$U30&lt;&gt;"",学校マスタ!$U30&gt;=F$3,学校マスタ!$U30&lt;F$3+7),"◎",IF(OR(AND(学校マスタ!$H30&lt;&gt;"",学校マスタ!$H30&gt;=F$3,学校マスタ!$H30&lt;F$3+7),AND(学校マスタ!$J30&lt;&gt;"",学校マスタ!$J30&gt;=F$3,学校マスタ!$J30&lt;F$3+7),AND(学校マスタ!$L30&lt;&gt;"",学校マスタ!$L30&gt;=F$3,学校マスタ!$L30&lt;F$3+7)),"◆",IF(AND(学校マスタ!$O30&lt;&gt;"",学校マスタ!$P30&lt;&gt;"",学校マスタ!$O30&lt;F$3+7,学校マスタ!$P30&gt;=F$3),"█",IF(AND(学校マスタ!$R30&lt;&gt;"",学校マスタ!$U30&lt;&gt;"",学校マスタ!$R30&lt;F$3+7,学校マスタ!$U30&gt;=F$3),"▒","")))))</f>
        <v/>
      </c>
      <c r="G32" s="26">
        <f>IF(学校マスタ!$A30="","",IF(AND(学校マスタ!$U30&lt;&gt;"",学校マスタ!$U30&gt;=G$3,学校マスタ!$U30&lt;G$3+7),"◎",IF(OR(AND(学校マスタ!$H30&lt;&gt;"",学校マスタ!$H30&gt;=G$3,学校マスタ!$H30&lt;G$3+7),AND(学校マスタ!$J30&lt;&gt;"",学校マスタ!$J30&gt;=G$3,学校マスタ!$J30&lt;G$3+7),AND(学校マスタ!$L30&lt;&gt;"",学校マスタ!$L30&gt;=G$3,学校マスタ!$L30&lt;G$3+7)),"◆",IF(AND(学校マスタ!$O30&lt;&gt;"",学校マスタ!$P30&lt;&gt;"",学校マスタ!$O30&lt;G$3+7,学校マスタ!$P30&gt;=G$3),"█",IF(AND(学校マスタ!$R30&lt;&gt;"",学校マスタ!$U30&lt;&gt;"",学校マスタ!$R30&lt;G$3+7,学校マスタ!$U30&gt;=G$3),"▒","")))))</f>
        <v/>
      </c>
      <c r="H32" s="26">
        <f>IF(学校マスタ!$A30="","",IF(AND(学校マスタ!$U30&lt;&gt;"",学校マスタ!$U30&gt;=H$3,学校マスタ!$U30&lt;H$3+7),"◎",IF(OR(AND(学校マスタ!$H30&lt;&gt;"",学校マスタ!$H30&gt;=H$3,学校マスタ!$H30&lt;H$3+7),AND(学校マスタ!$J30&lt;&gt;"",学校マスタ!$J30&gt;=H$3,学校マスタ!$J30&lt;H$3+7),AND(学校マスタ!$L30&lt;&gt;"",学校マスタ!$L30&gt;=H$3,学校マスタ!$L30&lt;H$3+7)),"◆",IF(AND(学校マスタ!$O30&lt;&gt;"",学校マスタ!$P30&lt;&gt;"",学校マスタ!$O30&lt;H$3+7,学校マスタ!$P30&gt;=H$3),"█",IF(AND(学校マスタ!$R30&lt;&gt;"",学校マスタ!$U30&lt;&gt;"",学校マスタ!$R30&lt;H$3+7,学校マスタ!$U30&gt;=H$3),"▒","")))))</f>
        <v/>
      </c>
      <c r="I32" s="26">
        <f>IF(学校マスタ!$A30="","",IF(AND(学校マスタ!$U30&lt;&gt;"",学校マスタ!$U30&gt;=I$3,学校マスタ!$U30&lt;I$3+7),"◎",IF(OR(AND(学校マスタ!$H30&lt;&gt;"",学校マスタ!$H30&gt;=I$3,学校マスタ!$H30&lt;I$3+7),AND(学校マスタ!$J30&lt;&gt;"",学校マスタ!$J30&gt;=I$3,学校マスタ!$J30&lt;I$3+7),AND(学校マスタ!$L30&lt;&gt;"",学校マスタ!$L30&gt;=I$3,学校マスタ!$L30&lt;I$3+7)),"◆",IF(AND(学校マスタ!$O30&lt;&gt;"",学校マスタ!$P30&lt;&gt;"",学校マスタ!$O30&lt;I$3+7,学校マスタ!$P30&gt;=I$3),"█",IF(AND(学校マスタ!$R30&lt;&gt;"",学校マスタ!$U30&lt;&gt;"",学校マスタ!$R30&lt;I$3+7,学校マスタ!$U30&gt;=I$3),"▒","")))))</f>
        <v/>
      </c>
      <c r="J32" s="26">
        <f>IF(学校マスタ!$A30="","",IF(AND(学校マスタ!$U30&lt;&gt;"",学校マスタ!$U30&gt;=J$3,学校マスタ!$U30&lt;J$3+7),"◎",IF(OR(AND(学校マスタ!$H30&lt;&gt;"",学校マスタ!$H30&gt;=J$3,学校マスタ!$H30&lt;J$3+7),AND(学校マスタ!$J30&lt;&gt;"",学校マスタ!$J30&gt;=J$3,学校マスタ!$J30&lt;J$3+7),AND(学校マスタ!$L30&lt;&gt;"",学校マスタ!$L30&gt;=J$3,学校マスタ!$L30&lt;J$3+7)),"◆",IF(AND(学校マスタ!$O30&lt;&gt;"",学校マスタ!$P30&lt;&gt;"",学校マスタ!$O30&lt;J$3+7,学校マスタ!$P30&gt;=J$3),"█",IF(AND(学校マスタ!$R30&lt;&gt;"",学校マスタ!$U30&lt;&gt;"",学校マスタ!$R30&lt;J$3+7,学校マスタ!$U30&gt;=J$3),"▒","")))))</f>
        <v/>
      </c>
      <c r="K32" s="26">
        <f>IF(学校マスタ!$A30="","",IF(AND(学校マスタ!$U30&lt;&gt;"",学校マスタ!$U30&gt;=K$3,学校マスタ!$U30&lt;K$3+7),"◎",IF(OR(AND(学校マスタ!$H30&lt;&gt;"",学校マスタ!$H30&gt;=K$3,学校マスタ!$H30&lt;K$3+7),AND(学校マスタ!$J30&lt;&gt;"",学校マスタ!$J30&gt;=K$3,学校マスタ!$J30&lt;K$3+7),AND(学校マスタ!$L30&lt;&gt;"",学校マスタ!$L30&gt;=K$3,学校マスタ!$L30&lt;K$3+7)),"◆",IF(AND(学校マスタ!$O30&lt;&gt;"",学校マスタ!$P30&lt;&gt;"",学校マスタ!$O30&lt;K$3+7,学校マスタ!$P30&gt;=K$3),"█",IF(AND(学校マスタ!$R30&lt;&gt;"",学校マスタ!$U30&lt;&gt;"",学校マスタ!$R30&lt;K$3+7,学校マスタ!$U30&gt;=K$3),"▒","")))))</f>
        <v/>
      </c>
      <c r="L32" s="26">
        <f>IF(学校マスタ!$A30="","",IF(AND(学校マスタ!$U30&lt;&gt;"",学校マスタ!$U30&gt;=L$3,学校マスタ!$U30&lt;L$3+7),"◎",IF(OR(AND(学校マスタ!$H30&lt;&gt;"",学校マスタ!$H30&gt;=L$3,学校マスタ!$H30&lt;L$3+7),AND(学校マスタ!$J30&lt;&gt;"",学校マスタ!$J30&gt;=L$3,学校マスタ!$J30&lt;L$3+7),AND(学校マスタ!$L30&lt;&gt;"",学校マスタ!$L30&gt;=L$3,学校マスタ!$L30&lt;L$3+7)),"◆",IF(AND(学校マスタ!$O30&lt;&gt;"",学校マスタ!$P30&lt;&gt;"",学校マスタ!$O30&lt;L$3+7,学校マスタ!$P30&gt;=L$3),"█",IF(AND(学校マスタ!$R30&lt;&gt;"",学校マスタ!$U30&lt;&gt;"",学校マスタ!$R30&lt;L$3+7,学校マスタ!$U30&gt;=L$3),"▒","")))))</f>
        <v/>
      </c>
      <c r="M32" s="26">
        <f>IF(学校マスタ!$A30="","",IF(AND(学校マスタ!$U30&lt;&gt;"",学校マスタ!$U30&gt;=M$3,学校マスタ!$U30&lt;M$3+7),"◎",IF(OR(AND(学校マスタ!$H30&lt;&gt;"",学校マスタ!$H30&gt;=M$3,学校マスタ!$H30&lt;M$3+7),AND(学校マスタ!$J30&lt;&gt;"",学校マスタ!$J30&gt;=M$3,学校マスタ!$J30&lt;M$3+7),AND(学校マスタ!$L30&lt;&gt;"",学校マスタ!$L30&gt;=M$3,学校マスタ!$L30&lt;M$3+7)),"◆",IF(AND(学校マスタ!$O30&lt;&gt;"",学校マスタ!$P30&lt;&gt;"",学校マスタ!$O30&lt;M$3+7,学校マスタ!$P30&gt;=M$3),"█",IF(AND(学校マスタ!$R30&lt;&gt;"",学校マスタ!$U30&lt;&gt;"",学校マスタ!$R30&lt;M$3+7,学校マスタ!$U30&gt;=M$3),"▒","")))))</f>
        <v/>
      </c>
      <c r="N32" s="26">
        <f>IF(学校マスタ!$A30="","",IF(AND(学校マスタ!$U30&lt;&gt;"",学校マスタ!$U30&gt;=N$3,学校マスタ!$U30&lt;N$3+7),"◎",IF(OR(AND(学校マスタ!$H30&lt;&gt;"",学校マスタ!$H30&gt;=N$3,学校マスタ!$H30&lt;N$3+7),AND(学校マスタ!$J30&lt;&gt;"",学校マスタ!$J30&gt;=N$3,学校マスタ!$J30&lt;N$3+7),AND(学校マスタ!$L30&lt;&gt;"",学校マスタ!$L30&gt;=N$3,学校マスタ!$L30&lt;N$3+7)),"◆",IF(AND(学校マスタ!$O30&lt;&gt;"",学校マスタ!$P30&lt;&gt;"",学校マスタ!$O30&lt;N$3+7,学校マスタ!$P30&gt;=N$3),"█",IF(AND(学校マスタ!$R30&lt;&gt;"",学校マスタ!$U30&lt;&gt;"",学校マスタ!$R30&lt;N$3+7,学校マスタ!$U30&gt;=N$3),"▒","")))))</f>
        <v/>
      </c>
      <c r="O32" s="26">
        <f>IF(学校マスタ!$A30="","",IF(AND(学校マスタ!$U30&lt;&gt;"",学校マスタ!$U30&gt;=O$3,学校マスタ!$U30&lt;O$3+7),"◎",IF(OR(AND(学校マスタ!$H30&lt;&gt;"",学校マスタ!$H30&gt;=O$3,学校マスタ!$H30&lt;O$3+7),AND(学校マスタ!$J30&lt;&gt;"",学校マスタ!$J30&gt;=O$3,学校マスタ!$J30&lt;O$3+7),AND(学校マスタ!$L30&lt;&gt;"",学校マスタ!$L30&gt;=O$3,学校マスタ!$L30&lt;O$3+7)),"◆",IF(AND(学校マスタ!$O30&lt;&gt;"",学校マスタ!$P30&lt;&gt;"",学校マスタ!$O30&lt;O$3+7,学校マスタ!$P30&gt;=O$3),"█",IF(AND(学校マスタ!$R30&lt;&gt;"",学校マスタ!$U30&lt;&gt;"",学校マスタ!$R30&lt;O$3+7,学校マスタ!$U30&gt;=O$3),"▒","")))))</f>
        <v/>
      </c>
      <c r="P32" s="26">
        <f>IF(学校マスタ!$A30="","",IF(AND(学校マスタ!$U30&lt;&gt;"",学校マスタ!$U30&gt;=P$3,学校マスタ!$U30&lt;P$3+7),"◎",IF(OR(AND(学校マスタ!$H30&lt;&gt;"",学校マスタ!$H30&gt;=P$3,学校マスタ!$H30&lt;P$3+7),AND(学校マスタ!$J30&lt;&gt;"",学校マスタ!$J30&gt;=P$3,学校マスタ!$J30&lt;P$3+7),AND(学校マスタ!$L30&lt;&gt;"",学校マスタ!$L30&gt;=P$3,学校マスタ!$L30&lt;P$3+7)),"◆",IF(AND(学校マスタ!$O30&lt;&gt;"",学校マスタ!$P30&lt;&gt;"",学校マスタ!$O30&lt;P$3+7,学校マスタ!$P30&gt;=P$3),"█",IF(AND(学校マスタ!$R30&lt;&gt;"",学校マスタ!$U30&lt;&gt;"",学校マスタ!$R30&lt;P$3+7,学校マスタ!$U30&gt;=P$3),"▒","")))))</f>
        <v/>
      </c>
      <c r="Q32" s="26">
        <f>IF(学校マスタ!$A30="","",IF(AND(学校マスタ!$U30&lt;&gt;"",学校マスタ!$U30&gt;=Q$3,学校マスタ!$U30&lt;Q$3+7),"◎",IF(OR(AND(学校マスタ!$H30&lt;&gt;"",学校マスタ!$H30&gt;=Q$3,学校マスタ!$H30&lt;Q$3+7),AND(学校マスタ!$J30&lt;&gt;"",学校マスタ!$J30&gt;=Q$3,学校マスタ!$J30&lt;Q$3+7),AND(学校マスタ!$L30&lt;&gt;"",学校マスタ!$L30&gt;=Q$3,学校マスタ!$L30&lt;Q$3+7)),"◆",IF(AND(学校マスタ!$O30&lt;&gt;"",学校マスタ!$P30&lt;&gt;"",学校マスタ!$O30&lt;Q$3+7,学校マスタ!$P30&gt;=Q$3),"█",IF(AND(学校マスタ!$R30&lt;&gt;"",学校マスタ!$U30&lt;&gt;"",学校マスタ!$R30&lt;Q$3+7,学校マスタ!$U30&gt;=Q$3),"▒","")))))</f>
        <v/>
      </c>
      <c r="R32" s="26">
        <f>IF(学校マスタ!$A30="","",IF(AND(学校マスタ!$U30&lt;&gt;"",学校マスタ!$U30&gt;=R$3,学校マスタ!$U30&lt;R$3+7),"◎",IF(OR(AND(学校マスタ!$H30&lt;&gt;"",学校マスタ!$H30&gt;=R$3,学校マスタ!$H30&lt;R$3+7),AND(学校マスタ!$J30&lt;&gt;"",学校マスタ!$J30&gt;=R$3,学校マスタ!$J30&lt;R$3+7),AND(学校マスタ!$L30&lt;&gt;"",学校マスタ!$L30&gt;=R$3,学校マスタ!$L30&lt;R$3+7)),"◆",IF(AND(学校マスタ!$O30&lt;&gt;"",学校マスタ!$P30&lt;&gt;"",学校マスタ!$O30&lt;R$3+7,学校マスタ!$P30&gt;=R$3),"█",IF(AND(学校マスタ!$R30&lt;&gt;"",学校マスタ!$U30&lt;&gt;"",学校マスタ!$R30&lt;R$3+7,学校マスタ!$U30&gt;=R$3),"▒","")))))</f>
        <v/>
      </c>
      <c r="S32" s="26">
        <f>IF(学校マスタ!$A30="","",IF(AND(学校マスタ!$U30&lt;&gt;"",学校マスタ!$U30&gt;=S$3,学校マスタ!$U30&lt;S$3+7),"◎",IF(OR(AND(学校マスタ!$H30&lt;&gt;"",学校マスタ!$H30&gt;=S$3,学校マスタ!$H30&lt;S$3+7),AND(学校マスタ!$J30&lt;&gt;"",学校マスタ!$J30&gt;=S$3,学校マスタ!$J30&lt;S$3+7),AND(学校マスタ!$L30&lt;&gt;"",学校マスタ!$L30&gt;=S$3,学校マスタ!$L30&lt;S$3+7)),"◆",IF(AND(学校マスタ!$O30&lt;&gt;"",学校マスタ!$P30&lt;&gt;"",学校マスタ!$O30&lt;S$3+7,学校マスタ!$P30&gt;=S$3),"█",IF(AND(学校マスタ!$R30&lt;&gt;"",学校マスタ!$U30&lt;&gt;"",学校マスタ!$R30&lt;S$3+7,学校マスタ!$U30&gt;=S$3),"▒","")))))</f>
        <v/>
      </c>
      <c r="T32" s="26">
        <f>IF(学校マスタ!$A30="","",IF(AND(学校マスタ!$U30&lt;&gt;"",学校マスタ!$U30&gt;=T$3,学校マスタ!$U30&lt;T$3+7),"◎",IF(OR(AND(学校マスタ!$H30&lt;&gt;"",学校マスタ!$H30&gt;=T$3,学校マスタ!$H30&lt;T$3+7),AND(学校マスタ!$J30&lt;&gt;"",学校マスタ!$J30&gt;=T$3,学校マスタ!$J30&lt;T$3+7),AND(学校マスタ!$L30&lt;&gt;"",学校マスタ!$L30&gt;=T$3,学校マスタ!$L30&lt;T$3+7)),"◆",IF(AND(学校マスタ!$O30&lt;&gt;"",学校マスタ!$P30&lt;&gt;"",学校マスタ!$O30&lt;T$3+7,学校マスタ!$P30&gt;=T$3),"█",IF(AND(学校マスタ!$R30&lt;&gt;"",学校マスタ!$U30&lt;&gt;"",学校マスタ!$R30&lt;T$3+7,学校マスタ!$U30&gt;=T$3),"▒","")))))</f>
        <v/>
      </c>
      <c r="U32" s="26">
        <f>IF(学校マスタ!$A30="","",IF(AND(学校マスタ!$U30&lt;&gt;"",学校マスタ!$U30&gt;=U$3,学校マスタ!$U30&lt;U$3+7),"◎",IF(OR(AND(学校マスタ!$H30&lt;&gt;"",学校マスタ!$H30&gt;=U$3,学校マスタ!$H30&lt;U$3+7),AND(学校マスタ!$J30&lt;&gt;"",学校マスタ!$J30&gt;=U$3,学校マスタ!$J30&lt;U$3+7),AND(学校マスタ!$L30&lt;&gt;"",学校マスタ!$L30&gt;=U$3,学校マスタ!$L30&lt;U$3+7)),"◆",IF(AND(学校マスタ!$O30&lt;&gt;"",学校マスタ!$P30&lt;&gt;"",学校マスタ!$O30&lt;U$3+7,学校マスタ!$P30&gt;=U$3),"█",IF(AND(学校マスタ!$R30&lt;&gt;"",学校マスタ!$U30&lt;&gt;"",学校マスタ!$R30&lt;U$3+7,学校マスタ!$U30&gt;=U$3),"▒","")))))</f>
        <v/>
      </c>
      <c r="V32" s="26">
        <f>IF(学校マスタ!$A30="","",IF(AND(学校マスタ!$U30&lt;&gt;"",学校マスタ!$U30&gt;=V$3,学校マスタ!$U30&lt;V$3+7),"◎",IF(OR(AND(学校マスタ!$H30&lt;&gt;"",学校マスタ!$H30&gt;=V$3,学校マスタ!$H30&lt;V$3+7),AND(学校マスタ!$J30&lt;&gt;"",学校マスタ!$J30&gt;=V$3,学校マスタ!$J30&lt;V$3+7),AND(学校マスタ!$L30&lt;&gt;"",学校マスタ!$L30&gt;=V$3,学校マスタ!$L30&lt;V$3+7)),"◆",IF(AND(学校マスタ!$O30&lt;&gt;"",学校マスタ!$P30&lt;&gt;"",学校マスタ!$O30&lt;V$3+7,学校マスタ!$P30&gt;=V$3),"█",IF(AND(学校マスタ!$R30&lt;&gt;"",学校マスタ!$U30&lt;&gt;"",学校マスタ!$R30&lt;V$3+7,学校マスタ!$U30&gt;=V$3),"▒","")))))</f>
        <v/>
      </c>
      <c r="W32" s="26">
        <f>IF(学校マスタ!$A30="","",IF(AND(学校マスタ!$U30&lt;&gt;"",学校マスタ!$U30&gt;=W$3,学校マスタ!$U30&lt;W$3+7),"◎",IF(OR(AND(学校マスタ!$H30&lt;&gt;"",学校マスタ!$H30&gt;=W$3,学校マスタ!$H30&lt;W$3+7),AND(学校マスタ!$J30&lt;&gt;"",学校マスタ!$J30&gt;=W$3,学校マスタ!$J30&lt;W$3+7),AND(学校マスタ!$L30&lt;&gt;"",学校マスタ!$L30&gt;=W$3,学校マスタ!$L30&lt;W$3+7)),"◆",IF(AND(学校マスタ!$O30&lt;&gt;"",学校マスタ!$P30&lt;&gt;"",学校マスタ!$O30&lt;W$3+7,学校マスタ!$P30&gt;=W$3),"█",IF(AND(学校マスタ!$R30&lt;&gt;"",学校マスタ!$U30&lt;&gt;"",学校マスタ!$R30&lt;W$3+7,学校マスタ!$U30&gt;=W$3),"▒","")))))</f>
        <v/>
      </c>
      <c r="X32" s="26">
        <f>IF(学校マスタ!$A30="","",IF(AND(学校マスタ!$U30&lt;&gt;"",学校マスタ!$U30&gt;=X$3,学校マスタ!$U30&lt;X$3+7),"◎",IF(OR(AND(学校マスタ!$H30&lt;&gt;"",学校マスタ!$H30&gt;=X$3,学校マスタ!$H30&lt;X$3+7),AND(学校マスタ!$J30&lt;&gt;"",学校マスタ!$J30&gt;=X$3,学校マスタ!$J30&lt;X$3+7),AND(学校マスタ!$L30&lt;&gt;"",学校マスタ!$L30&gt;=X$3,学校マスタ!$L30&lt;X$3+7)),"◆",IF(AND(学校マスタ!$O30&lt;&gt;"",学校マスタ!$P30&lt;&gt;"",学校マスタ!$O30&lt;X$3+7,学校マスタ!$P30&gt;=X$3),"█",IF(AND(学校マスタ!$R30&lt;&gt;"",学校マスタ!$U30&lt;&gt;"",学校マスタ!$R30&lt;X$3+7,学校マスタ!$U30&gt;=X$3),"▒","")))))</f>
        <v/>
      </c>
      <c r="Y32" s="26">
        <f>IF(学校マスタ!$A30="","",IF(AND(学校マスタ!$U30&lt;&gt;"",学校マスタ!$U30&gt;=Y$3,学校マスタ!$U30&lt;Y$3+7),"◎",IF(OR(AND(学校マスタ!$H30&lt;&gt;"",学校マスタ!$H30&gt;=Y$3,学校マスタ!$H30&lt;Y$3+7),AND(学校マスタ!$J30&lt;&gt;"",学校マスタ!$J30&gt;=Y$3,学校マスタ!$J30&lt;Y$3+7),AND(学校マスタ!$L30&lt;&gt;"",学校マスタ!$L30&gt;=Y$3,学校マスタ!$L30&lt;Y$3+7)),"◆",IF(AND(学校マスタ!$O30&lt;&gt;"",学校マスタ!$P30&lt;&gt;"",学校マスタ!$O30&lt;Y$3+7,学校マスタ!$P30&gt;=Y$3),"█",IF(AND(学校マスタ!$R30&lt;&gt;"",学校マスタ!$U30&lt;&gt;"",学校マスタ!$R30&lt;Y$3+7,学校マスタ!$U30&gt;=Y$3),"▒","")))))</f>
        <v/>
      </c>
      <c r="Z32" s="26">
        <f>IF(学校マスタ!$A30="","",IF(AND(学校マスタ!$U30&lt;&gt;"",学校マスタ!$U30&gt;=Z$3,学校マスタ!$U30&lt;Z$3+7),"◎",IF(OR(AND(学校マスタ!$H30&lt;&gt;"",学校マスタ!$H30&gt;=Z$3,学校マスタ!$H30&lt;Z$3+7),AND(学校マスタ!$J30&lt;&gt;"",学校マスタ!$J30&gt;=Z$3,学校マスタ!$J30&lt;Z$3+7),AND(学校マスタ!$L30&lt;&gt;"",学校マスタ!$L30&gt;=Z$3,学校マスタ!$L30&lt;Z$3+7)),"◆",IF(AND(学校マスタ!$O30&lt;&gt;"",学校マスタ!$P30&lt;&gt;"",学校マスタ!$O30&lt;Z$3+7,学校マスタ!$P30&gt;=Z$3),"█",IF(AND(学校マスタ!$R30&lt;&gt;"",学校マスタ!$U30&lt;&gt;"",学校マスタ!$R30&lt;Z$3+7,学校マスタ!$U30&gt;=Z$3),"▒","")))))</f>
        <v/>
      </c>
      <c r="AA32" s="26">
        <f>IF(学校マスタ!$A30="","",IF(AND(学校マスタ!$U30&lt;&gt;"",学校マスタ!$U30&gt;=AA$3,学校マスタ!$U30&lt;AA$3+7),"◎",IF(OR(AND(学校マスタ!$H30&lt;&gt;"",学校マスタ!$H30&gt;=AA$3,学校マスタ!$H30&lt;AA$3+7),AND(学校マスタ!$J30&lt;&gt;"",学校マスタ!$J30&gt;=AA$3,学校マスタ!$J30&lt;AA$3+7),AND(学校マスタ!$L30&lt;&gt;"",学校マスタ!$L30&gt;=AA$3,学校マスタ!$L30&lt;AA$3+7)),"◆",IF(AND(学校マスタ!$O30&lt;&gt;"",学校マスタ!$P30&lt;&gt;"",学校マスタ!$O30&lt;AA$3+7,学校マスタ!$P30&gt;=AA$3),"█",IF(AND(学校マスタ!$R30&lt;&gt;"",学校マスタ!$U30&lt;&gt;"",学校マスタ!$R30&lt;AA$3+7,学校マスタ!$U30&gt;=AA$3),"▒","")))))</f>
        <v/>
      </c>
      <c r="AB32" s="26">
        <f>IF(学校マスタ!$A30="","",IF(AND(学校マスタ!$U30&lt;&gt;"",学校マスタ!$U30&gt;=AB$3,学校マスタ!$U30&lt;AB$3+7),"◎",IF(OR(AND(学校マスタ!$H30&lt;&gt;"",学校マスタ!$H30&gt;=AB$3,学校マスタ!$H30&lt;AB$3+7),AND(学校マスタ!$J30&lt;&gt;"",学校マスタ!$J30&gt;=AB$3,学校マスタ!$J30&lt;AB$3+7),AND(学校マスタ!$L30&lt;&gt;"",学校マスタ!$L30&gt;=AB$3,学校マスタ!$L30&lt;AB$3+7)),"◆",IF(AND(学校マスタ!$O30&lt;&gt;"",学校マスタ!$P30&lt;&gt;"",学校マスタ!$O30&lt;AB$3+7,学校マスタ!$P30&gt;=AB$3),"█",IF(AND(学校マスタ!$R30&lt;&gt;"",学校マスタ!$U30&lt;&gt;"",学校マスタ!$R30&lt;AB$3+7,学校マスタ!$U30&gt;=AB$3),"▒","")))))</f>
        <v/>
      </c>
    </row>
    <row r="33">
      <c r="A33" s="19">
        <f>IF(学校マスタ!$A31="","",学校マスタ!$A31)</f>
        <v/>
      </c>
      <c r="B33" s="19">
        <f>IF(学校マスタ!$A31="","",学校マスタ!$C31)</f>
        <v/>
      </c>
      <c r="C33" s="19">
        <f>IF(学校マスタ!$A31="","",学校マスタ!$X31)</f>
        <v/>
      </c>
      <c r="D33" s="25">
        <f>IF(学校マスタ!$A31="","",学校マスタ!$R31)</f>
        <v/>
      </c>
      <c r="E33" s="26">
        <f>IF(学校マスタ!$A31="","",IF(AND(学校マスタ!$U31&lt;&gt;"",学校マスタ!$U31&gt;=E$3,学校マスタ!$U31&lt;E$3+7),"◎",IF(OR(AND(学校マスタ!$H31&lt;&gt;"",学校マスタ!$H31&gt;=E$3,学校マスタ!$H31&lt;E$3+7),AND(学校マスタ!$J31&lt;&gt;"",学校マスタ!$J31&gt;=E$3,学校マスタ!$J31&lt;E$3+7),AND(学校マスタ!$L31&lt;&gt;"",学校マスタ!$L31&gt;=E$3,学校マスタ!$L31&lt;E$3+7)),"◆",IF(AND(学校マスタ!$O31&lt;&gt;"",学校マスタ!$P31&lt;&gt;"",学校マスタ!$O31&lt;E$3+7,学校マスタ!$P31&gt;=E$3),"█",IF(AND(学校マスタ!$R31&lt;&gt;"",学校マスタ!$U31&lt;&gt;"",学校マスタ!$R31&lt;E$3+7,学校マスタ!$U31&gt;=E$3),"▒","")))))</f>
        <v/>
      </c>
      <c r="F33" s="26">
        <f>IF(学校マスタ!$A31="","",IF(AND(学校マスタ!$U31&lt;&gt;"",学校マスタ!$U31&gt;=F$3,学校マスタ!$U31&lt;F$3+7),"◎",IF(OR(AND(学校マスタ!$H31&lt;&gt;"",学校マスタ!$H31&gt;=F$3,学校マスタ!$H31&lt;F$3+7),AND(学校マスタ!$J31&lt;&gt;"",学校マスタ!$J31&gt;=F$3,学校マスタ!$J31&lt;F$3+7),AND(学校マスタ!$L31&lt;&gt;"",学校マスタ!$L31&gt;=F$3,学校マスタ!$L31&lt;F$3+7)),"◆",IF(AND(学校マスタ!$O31&lt;&gt;"",学校マスタ!$P31&lt;&gt;"",学校マスタ!$O31&lt;F$3+7,学校マスタ!$P31&gt;=F$3),"█",IF(AND(学校マスタ!$R31&lt;&gt;"",学校マスタ!$U31&lt;&gt;"",学校マスタ!$R31&lt;F$3+7,学校マスタ!$U31&gt;=F$3),"▒","")))))</f>
        <v/>
      </c>
      <c r="G33" s="26">
        <f>IF(学校マスタ!$A31="","",IF(AND(学校マスタ!$U31&lt;&gt;"",学校マスタ!$U31&gt;=G$3,学校マスタ!$U31&lt;G$3+7),"◎",IF(OR(AND(学校マスタ!$H31&lt;&gt;"",学校マスタ!$H31&gt;=G$3,学校マスタ!$H31&lt;G$3+7),AND(学校マスタ!$J31&lt;&gt;"",学校マスタ!$J31&gt;=G$3,学校マスタ!$J31&lt;G$3+7),AND(学校マスタ!$L31&lt;&gt;"",学校マスタ!$L31&gt;=G$3,学校マスタ!$L31&lt;G$3+7)),"◆",IF(AND(学校マスタ!$O31&lt;&gt;"",学校マスタ!$P31&lt;&gt;"",学校マスタ!$O31&lt;G$3+7,学校マスタ!$P31&gt;=G$3),"█",IF(AND(学校マスタ!$R31&lt;&gt;"",学校マスタ!$U31&lt;&gt;"",学校マスタ!$R31&lt;G$3+7,学校マスタ!$U31&gt;=G$3),"▒","")))))</f>
        <v/>
      </c>
      <c r="H33" s="26">
        <f>IF(学校マスタ!$A31="","",IF(AND(学校マスタ!$U31&lt;&gt;"",学校マスタ!$U31&gt;=H$3,学校マスタ!$U31&lt;H$3+7),"◎",IF(OR(AND(学校マスタ!$H31&lt;&gt;"",学校マスタ!$H31&gt;=H$3,学校マスタ!$H31&lt;H$3+7),AND(学校マスタ!$J31&lt;&gt;"",学校マスタ!$J31&gt;=H$3,学校マスタ!$J31&lt;H$3+7),AND(学校マスタ!$L31&lt;&gt;"",学校マスタ!$L31&gt;=H$3,学校マスタ!$L31&lt;H$3+7)),"◆",IF(AND(学校マスタ!$O31&lt;&gt;"",学校マスタ!$P31&lt;&gt;"",学校マスタ!$O31&lt;H$3+7,学校マスタ!$P31&gt;=H$3),"█",IF(AND(学校マスタ!$R31&lt;&gt;"",学校マスタ!$U31&lt;&gt;"",学校マスタ!$R31&lt;H$3+7,学校マスタ!$U31&gt;=H$3),"▒","")))))</f>
        <v/>
      </c>
      <c r="I33" s="26">
        <f>IF(学校マスタ!$A31="","",IF(AND(学校マスタ!$U31&lt;&gt;"",学校マスタ!$U31&gt;=I$3,学校マスタ!$U31&lt;I$3+7),"◎",IF(OR(AND(学校マスタ!$H31&lt;&gt;"",学校マスタ!$H31&gt;=I$3,学校マスタ!$H31&lt;I$3+7),AND(学校マスタ!$J31&lt;&gt;"",学校マスタ!$J31&gt;=I$3,学校マスタ!$J31&lt;I$3+7),AND(学校マスタ!$L31&lt;&gt;"",学校マスタ!$L31&gt;=I$3,学校マスタ!$L31&lt;I$3+7)),"◆",IF(AND(学校マスタ!$O31&lt;&gt;"",学校マスタ!$P31&lt;&gt;"",学校マスタ!$O31&lt;I$3+7,学校マスタ!$P31&gt;=I$3),"█",IF(AND(学校マスタ!$R31&lt;&gt;"",学校マスタ!$U31&lt;&gt;"",学校マスタ!$R31&lt;I$3+7,学校マスタ!$U31&gt;=I$3),"▒","")))))</f>
        <v/>
      </c>
      <c r="J33" s="26">
        <f>IF(学校マスタ!$A31="","",IF(AND(学校マスタ!$U31&lt;&gt;"",学校マスタ!$U31&gt;=J$3,学校マスタ!$U31&lt;J$3+7),"◎",IF(OR(AND(学校マスタ!$H31&lt;&gt;"",学校マスタ!$H31&gt;=J$3,学校マスタ!$H31&lt;J$3+7),AND(学校マスタ!$J31&lt;&gt;"",学校マスタ!$J31&gt;=J$3,学校マスタ!$J31&lt;J$3+7),AND(学校マスタ!$L31&lt;&gt;"",学校マスタ!$L31&gt;=J$3,学校マスタ!$L31&lt;J$3+7)),"◆",IF(AND(学校マスタ!$O31&lt;&gt;"",学校マスタ!$P31&lt;&gt;"",学校マスタ!$O31&lt;J$3+7,学校マスタ!$P31&gt;=J$3),"█",IF(AND(学校マスタ!$R31&lt;&gt;"",学校マスタ!$U31&lt;&gt;"",学校マスタ!$R31&lt;J$3+7,学校マスタ!$U31&gt;=J$3),"▒","")))))</f>
        <v/>
      </c>
      <c r="K33" s="26">
        <f>IF(学校マスタ!$A31="","",IF(AND(学校マスタ!$U31&lt;&gt;"",学校マスタ!$U31&gt;=K$3,学校マスタ!$U31&lt;K$3+7),"◎",IF(OR(AND(学校マスタ!$H31&lt;&gt;"",学校マスタ!$H31&gt;=K$3,学校マスタ!$H31&lt;K$3+7),AND(学校マスタ!$J31&lt;&gt;"",学校マスタ!$J31&gt;=K$3,学校マスタ!$J31&lt;K$3+7),AND(学校マスタ!$L31&lt;&gt;"",学校マスタ!$L31&gt;=K$3,学校マスタ!$L31&lt;K$3+7)),"◆",IF(AND(学校マスタ!$O31&lt;&gt;"",学校マスタ!$P31&lt;&gt;"",学校マスタ!$O31&lt;K$3+7,学校マスタ!$P31&gt;=K$3),"█",IF(AND(学校マスタ!$R31&lt;&gt;"",学校マスタ!$U31&lt;&gt;"",学校マスタ!$R31&lt;K$3+7,学校マスタ!$U31&gt;=K$3),"▒","")))))</f>
        <v/>
      </c>
      <c r="L33" s="26">
        <f>IF(学校マスタ!$A31="","",IF(AND(学校マスタ!$U31&lt;&gt;"",学校マスタ!$U31&gt;=L$3,学校マスタ!$U31&lt;L$3+7),"◎",IF(OR(AND(学校マスタ!$H31&lt;&gt;"",学校マスタ!$H31&gt;=L$3,学校マスタ!$H31&lt;L$3+7),AND(学校マスタ!$J31&lt;&gt;"",学校マスタ!$J31&gt;=L$3,学校マスタ!$J31&lt;L$3+7),AND(学校マスタ!$L31&lt;&gt;"",学校マスタ!$L31&gt;=L$3,学校マスタ!$L31&lt;L$3+7)),"◆",IF(AND(学校マスタ!$O31&lt;&gt;"",学校マスタ!$P31&lt;&gt;"",学校マスタ!$O31&lt;L$3+7,学校マスタ!$P31&gt;=L$3),"█",IF(AND(学校マスタ!$R31&lt;&gt;"",学校マスタ!$U31&lt;&gt;"",学校マスタ!$R31&lt;L$3+7,学校マスタ!$U31&gt;=L$3),"▒","")))))</f>
        <v/>
      </c>
      <c r="M33" s="26">
        <f>IF(学校マスタ!$A31="","",IF(AND(学校マスタ!$U31&lt;&gt;"",学校マスタ!$U31&gt;=M$3,学校マスタ!$U31&lt;M$3+7),"◎",IF(OR(AND(学校マスタ!$H31&lt;&gt;"",学校マスタ!$H31&gt;=M$3,学校マスタ!$H31&lt;M$3+7),AND(学校マスタ!$J31&lt;&gt;"",学校マスタ!$J31&gt;=M$3,学校マスタ!$J31&lt;M$3+7),AND(学校マスタ!$L31&lt;&gt;"",学校マスタ!$L31&gt;=M$3,学校マスタ!$L31&lt;M$3+7)),"◆",IF(AND(学校マスタ!$O31&lt;&gt;"",学校マスタ!$P31&lt;&gt;"",学校マスタ!$O31&lt;M$3+7,学校マスタ!$P31&gt;=M$3),"█",IF(AND(学校マスタ!$R31&lt;&gt;"",学校マスタ!$U31&lt;&gt;"",学校マスタ!$R31&lt;M$3+7,学校マスタ!$U31&gt;=M$3),"▒","")))))</f>
        <v/>
      </c>
      <c r="N33" s="26">
        <f>IF(学校マスタ!$A31="","",IF(AND(学校マスタ!$U31&lt;&gt;"",学校マスタ!$U31&gt;=N$3,学校マスタ!$U31&lt;N$3+7),"◎",IF(OR(AND(学校マスタ!$H31&lt;&gt;"",学校マスタ!$H31&gt;=N$3,学校マスタ!$H31&lt;N$3+7),AND(学校マスタ!$J31&lt;&gt;"",学校マスタ!$J31&gt;=N$3,学校マスタ!$J31&lt;N$3+7),AND(学校マスタ!$L31&lt;&gt;"",学校マスタ!$L31&gt;=N$3,学校マスタ!$L31&lt;N$3+7)),"◆",IF(AND(学校マスタ!$O31&lt;&gt;"",学校マスタ!$P31&lt;&gt;"",学校マスタ!$O31&lt;N$3+7,学校マスタ!$P31&gt;=N$3),"█",IF(AND(学校マスタ!$R31&lt;&gt;"",学校マスタ!$U31&lt;&gt;"",学校マスタ!$R31&lt;N$3+7,学校マスタ!$U31&gt;=N$3),"▒","")))))</f>
        <v/>
      </c>
      <c r="O33" s="26">
        <f>IF(学校マスタ!$A31="","",IF(AND(学校マスタ!$U31&lt;&gt;"",学校マスタ!$U31&gt;=O$3,学校マスタ!$U31&lt;O$3+7),"◎",IF(OR(AND(学校マスタ!$H31&lt;&gt;"",学校マスタ!$H31&gt;=O$3,学校マスタ!$H31&lt;O$3+7),AND(学校マスタ!$J31&lt;&gt;"",学校マスタ!$J31&gt;=O$3,学校マスタ!$J31&lt;O$3+7),AND(学校マスタ!$L31&lt;&gt;"",学校マスタ!$L31&gt;=O$3,学校マスタ!$L31&lt;O$3+7)),"◆",IF(AND(学校マスタ!$O31&lt;&gt;"",学校マスタ!$P31&lt;&gt;"",学校マスタ!$O31&lt;O$3+7,学校マスタ!$P31&gt;=O$3),"█",IF(AND(学校マスタ!$R31&lt;&gt;"",学校マスタ!$U31&lt;&gt;"",学校マスタ!$R31&lt;O$3+7,学校マスタ!$U31&gt;=O$3),"▒","")))))</f>
        <v/>
      </c>
      <c r="P33" s="26">
        <f>IF(学校マスタ!$A31="","",IF(AND(学校マスタ!$U31&lt;&gt;"",学校マスタ!$U31&gt;=P$3,学校マスタ!$U31&lt;P$3+7),"◎",IF(OR(AND(学校マスタ!$H31&lt;&gt;"",学校マスタ!$H31&gt;=P$3,学校マスタ!$H31&lt;P$3+7),AND(学校マスタ!$J31&lt;&gt;"",学校マスタ!$J31&gt;=P$3,学校マスタ!$J31&lt;P$3+7),AND(学校マスタ!$L31&lt;&gt;"",学校マスタ!$L31&gt;=P$3,学校マスタ!$L31&lt;P$3+7)),"◆",IF(AND(学校マスタ!$O31&lt;&gt;"",学校マスタ!$P31&lt;&gt;"",学校マスタ!$O31&lt;P$3+7,学校マスタ!$P31&gt;=P$3),"█",IF(AND(学校マスタ!$R31&lt;&gt;"",学校マスタ!$U31&lt;&gt;"",学校マスタ!$R31&lt;P$3+7,学校マスタ!$U31&gt;=P$3),"▒","")))))</f>
        <v/>
      </c>
      <c r="Q33" s="26">
        <f>IF(学校マスタ!$A31="","",IF(AND(学校マスタ!$U31&lt;&gt;"",学校マスタ!$U31&gt;=Q$3,学校マスタ!$U31&lt;Q$3+7),"◎",IF(OR(AND(学校マスタ!$H31&lt;&gt;"",学校マスタ!$H31&gt;=Q$3,学校マスタ!$H31&lt;Q$3+7),AND(学校マスタ!$J31&lt;&gt;"",学校マスタ!$J31&gt;=Q$3,学校マスタ!$J31&lt;Q$3+7),AND(学校マスタ!$L31&lt;&gt;"",学校マスタ!$L31&gt;=Q$3,学校マスタ!$L31&lt;Q$3+7)),"◆",IF(AND(学校マスタ!$O31&lt;&gt;"",学校マスタ!$P31&lt;&gt;"",学校マスタ!$O31&lt;Q$3+7,学校マスタ!$P31&gt;=Q$3),"█",IF(AND(学校マスタ!$R31&lt;&gt;"",学校マスタ!$U31&lt;&gt;"",学校マスタ!$R31&lt;Q$3+7,学校マスタ!$U31&gt;=Q$3),"▒","")))))</f>
        <v/>
      </c>
      <c r="R33" s="26">
        <f>IF(学校マスタ!$A31="","",IF(AND(学校マスタ!$U31&lt;&gt;"",学校マスタ!$U31&gt;=R$3,学校マスタ!$U31&lt;R$3+7),"◎",IF(OR(AND(学校マスタ!$H31&lt;&gt;"",学校マスタ!$H31&gt;=R$3,学校マスタ!$H31&lt;R$3+7),AND(学校マスタ!$J31&lt;&gt;"",学校マスタ!$J31&gt;=R$3,学校マスタ!$J31&lt;R$3+7),AND(学校マスタ!$L31&lt;&gt;"",学校マスタ!$L31&gt;=R$3,学校マスタ!$L31&lt;R$3+7)),"◆",IF(AND(学校マスタ!$O31&lt;&gt;"",学校マスタ!$P31&lt;&gt;"",学校マスタ!$O31&lt;R$3+7,学校マスタ!$P31&gt;=R$3),"█",IF(AND(学校マスタ!$R31&lt;&gt;"",学校マスタ!$U31&lt;&gt;"",学校マスタ!$R31&lt;R$3+7,学校マスタ!$U31&gt;=R$3),"▒","")))))</f>
        <v/>
      </c>
      <c r="S33" s="26">
        <f>IF(学校マスタ!$A31="","",IF(AND(学校マスタ!$U31&lt;&gt;"",学校マスタ!$U31&gt;=S$3,学校マスタ!$U31&lt;S$3+7),"◎",IF(OR(AND(学校マスタ!$H31&lt;&gt;"",学校マスタ!$H31&gt;=S$3,学校マスタ!$H31&lt;S$3+7),AND(学校マスタ!$J31&lt;&gt;"",学校マスタ!$J31&gt;=S$3,学校マスタ!$J31&lt;S$3+7),AND(学校マスタ!$L31&lt;&gt;"",学校マスタ!$L31&gt;=S$3,学校マスタ!$L31&lt;S$3+7)),"◆",IF(AND(学校マスタ!$O31&lt;&gt;"",学校マスタ!$P31&lt;&gt;"",学校マスタ!$O31&lt;S$3+7,学校マスタ!$P31&gt;=S$3),"█",IF(AND(学校マスタ!$R31&lt;&gt;"",学校マスタ!$U31&lt;&gt;"",学校マスタ!$R31&lt;S$3+7,学校マスタ!$U31&gt;=S$3),"▒","")))))</f>
        <v/>
      </c>
      <c r="T33" s="26">
        <f>IF(学校マスタ!$A31="","",IF(AND(学校マスタ!$U31&lt;&gt;"",学校マスタ!$U31&gt;=T$3,学校マスタ!$U31&lt;T$3+7),"◎",IF(OR(AND(学校マスタ!$H31&lt;&gt;"",学校マスタ!$H31&gt;=T$3,学校マスタ!$H31&lt;T$3+7),AND(学校マスタ!$J31&lt;&gt;"",学校マスタ!$J31&gt;=T$3,学校マスタ!$J31&lt;T$3+7),AND(学校マスタ!$L31&lt;&gt;"",学校マスタ!$L31&gt;=T$3,学校マスタ!$L31&lt;T$3+7)),"◆",IF(AND(学校マスタ!$O31&lt;&gt;"",学校マスタ!$P31&lt;&gt;"",学校マスタ!$O31&lt;T$3+7,学校マスタ!$P31&gt;=T$3),"█",IF(AND(学校マスタ!$R31&lt;&gt;"",学校マスタ!$U31&lt;&gt;"",学校マスタ!$R31&lt;T$3+7,学校マスタ!$U31&gt;=T$3),"▒","")))))</f>
        <v/>
      </c>
      <c r="U33" s="26">
        <f>IF(学校マスタ!$A31="","",IF(AND(学校マスタ!$U31&lt;&gt;"",学校マスタ!$U31&gt;=U$3,学校マスタ!$U31&lt;U$3+7),"◎",IF(OR(AND(学校マスタ!$H31&lt;&gt;"",学校マスタ!$H31&gt;=U$3,学校マスタ!$H31&lt;U$3+7),AND(学校マスタ!$J31&lt;&gt;"",学校マスタ!$J31&gt;=U$3,学校マスタ!$J31&lt;U$3+7),AND(学校マスタ!$L31&lt;&gt;"",学校マスタ!$L31&gt;=U$3,学校マスタ!$L31&lt;U$3+7)),"◆",IF(AND(学校マスタ!$O31&lt;&gt;"",学校マスタ!$P31&lt;&gt;"",学校マスタ!$O31&lt;U$3+7,学校マスタ!$P31&gt;=U$3),"█",IF(AND(学校マスタ!$R31&lt;&gt;"",学校マスタ!$U31&lt;&gt;"",学校マスタ!$R31&lt;U$3+7,学校マスタ!$U31&gt;=U$3),"▒","")))))</f>
        <v/>
      </c>
      <c r="V33" s="26">
        <f>IF(学校マスタ!$A31="","",IF(AND(学校マスタ!$U31&lt;&gt;"",学校マスタ!$U31&gt;=V$3,学校マスタ!$U31&lt;V$3+7),"◎",IF(OR(AND(学校マスタ!$H31&lt;&gt;"",学校マスタ!$H31&gt;=V$3,学校マスタ!$H31&lt;V$3+7),AND(学校マスタ!$J31&lt;&gt;"",学校マスタ!$J31&gt;=V$3,学校マスタ!$J31&lt;V$3+7),AND(学校マスタ!$L31&lt;&gt;"",学校マスタ!$L31&gt;=V$3,学校マスタ!$L31&lt;V$3+7)),"◆",IF(AND(学校マスタ!$O31&lt;&gt;"",学校マスタ!$P31&lt;&gt;"",学校マスタ!$O31&lt;V$3+7,学校マスタ!$P31&gt;=V$3),"█",IF(AND(学校マスタ!$R31&lt;&gt;"",学校マスタ!$U31&lt;&gt;"",学校マスタ!$R31&lt;V$3+7,学校マスタ!$U31&gt;=V$3),"▒","")))))</f>
        <v/>
      </c>
      <c r="W33" s="26">
        <f>IF(学校マスタ!$A31="","",IF(AND(学校マスタ!$U31&lt;&gt;"",学校マスタ!$U31&gt;=W$3,学校マスタ!$U31&lt;W$3+7),"◎",IF(OR(AND(学校マスタ!$H31&lt;&gt;"",学校マスタ!$H31&gt;=W$3,学校マスタ!$H31&lt;W$3+7),AND(学校マスタ!$J31&lt;&gt;"",学校マスタ!$J31&gt;=W$3,学校マスタ!$J31&lt;W$3+7),AND(学校マスタ!$L31&lt;&gt;"",学校マスタ!$L31&gt;=W$3,学校マスタ!$L31&lt;W$3+7)),"◆",IF(AND(学校マスタ!$O31&lt;&gt;"",学校マスタ!$P31&lt;&gt;"",学校マスタ!$O31&lt;W$3+7,学校マスタ!$P31&gt;=W$3),"█",IF(AND(学校マスタ!$R31&lt;&gt;"",学校マスタ!$U31&lt;&gt;"",学校マスタ!$R31&lt;W$3+7,学校マスタ!$U31&gt;=W$3),"▒","")))))</f>
        <v/>
      </c>
      <c r="X33" s="26">
        <f>IF(学校マスタ!$A31="","",IF(AND(学校マスタ!$U31&lt;&gt;"",学校マスタ!$U31&gt;=X$3,学校マスタ!$U31&lt;X$3+7),"◎",IF(OR(AND(学校マスタ!$H31&lt;&gt;"",学校マスタ!$H31&gt;=X$3,学校マスタ!$H31&lt;X$3+7),AND(学校マスタ!$J31&lt;&gt;"",学校マスタ!$J31&gt;=X$3,学校マスタ!$J31&lt;X$3+7),AND(学校マスタ!$L31&lt;&gt;"",学校マスタ!$L31&gt;=X$3,学校マスタ!$L31&lt;X$3+7)),"◆",IF(AND(学校マスタ!$O31&lt;&gt;"",学校マスタ!$P31&lt;&gt;"",学校マスタ!$O31&lt;X$3+7,学校マスタ!$P31&gt;=X$3),"█",IF(AND(学校マスタ!$R31&lt;&gt;"",学校マスタ!$U31&lt;&gt;"",学校マスタ!$R31&lt;X$3+7,学校マスタ!$U31&gt;=X$3),"▒","")))))</f>
        <v/>
      </c>
      <c r="Y33" s="26">
        <f>IF(学校マスタ!$A31="","",IF(AND(学校マスタ!$U31&lt;&gt;"",学校マスタ!$U31&gt;=Y$3,学校マスタ!$U31&lt;Y$3+7),"◎",IF(OR(AND(学校マスタ!$H31&lt;&gt;"",学校マスタ!$H31&gt;=Y$3,学校マスタ!$H31&lt;Y$3+7),AND(学校マスタ!$J31&lt;&gt;"",学校マスタ!$J31&gt;=Y$3,学校マスタ!$J31&lt;Y$3+7),AND(学校マスタ!$L31&lt;&gt;"",学校マスタ!$L31&gt;=Y$3,学校マスタ!$L31&lt;Y$3+7)),"◆",IF(AND(学校マスタ!$O31&lt;&gt;"",学校マスタ!$P31&lt;&gt;"",学校マスタ!$O31&lt;Y$3+7,学校マスタ!$P31&gt;=Y$3),"█",IF(AND(学校マスタ!$R31&lt;&gt;"",学校マスタ!$U31&lt;&gt;"",学校マスタ!$R31&lt;Y$3+7,学校マスタ!$U31&gt;=Y$3),"▒","")))))</f>
        <v/>
      </c>
      <c r="Z33" s="26">
        <f>IF(学校マスタ!$A31="","",IF(AND(学校マスタ!$U31&lt;&gt;"",学校マスタ!$U31&gt;=Z$3,学校マスタ!$U31&lt;Z$3+7),"◎",IF(OR(AND(学校マスタ!$H31&lt;&gt;"",学校マスタ!$H31&gt;=Z$3,学校マスタ!$H31&lt;Z$3+7),AND(学校マスタ!$J31&lt;&gt;"",学校マスタ!$J31&gt;=Z$3,学校マスタ!$J31&lt;Z$3+7),AND(学校マスタ!$L31&lt;&gt;"",学校マスタ!$L31&gt;=Z$3,学校マスタ!$L31&lt;Z$3+7)),"◆",IF(AND(学校マスタ!$O31&lt;&gt;"",学校マスタ!$P31&lt;&gt;"",学校マスタ!$O31&lt;Z$3+7,学校マスタ!$P31&gt;=Z$3),"█",IF(AND(学校マスタ!$R31&lt;&gt;"",学校マスタ!$U31&lt;&gt;"",学校マスタ!$R31&lt;Z$3+7,学校マスタ!$U31&gt;=Z$3),"▒","")))))</f>
        <v/>
      </c>
      <c r="AA33" s="26">
        <f>IF(学校マスタ!$A31="","",IF(AND(学校マスタ!$U31&lt;&gt;"",学校マスタ!$U31&gt;=AA$3,学校マスタ!$U31&lt;AA$3+7),"◎",IF(OR(AND(学校マスタ!$H31&lt;&gt;"",学校マスタ!$H31&gt;=AA$3,学校マスタ!$H31&lt;AA$3+7),AND(学校マスタ!$J31&lt;&gt;"",学校マスタ!$J31&gt;=AA$3,学校マスタ!$J31&lt;AA$3+7),AND(学校マスタ!$L31&lt;&gt;"",学校マスタ!$L31&gt;=AA$3,学校マスタ!$L31&lt;AA$3+7)),"◆",IF(AND(学校マスタ!$O31&lt;&gt;"",学校マスタ!$P31&lt;&gt;"",学校マスタ!$O31&lt;AA$3+7,学校マスタ!$P31&gt;=AA$3),"█",IF(AND(学校マスタ!$R31&lt;&gt;"",学校マスタ!$U31&lt;&gt;"",学校マスタ!$R31&lt;AA$3+7,学校マスタ!$U31&gt;=AA$3),"▒","")))))</f>
        <v/>
      </c>
      <c r="AB33" s="26">
        <f>IF(学校マスタ!$A31="","",IF(AND(学校マスタ!$U31&lt;&gt;"",学校マスタ!$U31&gt;=AB$3,学校マスタ!$U31&lt;AB$3+7),"◎",IF(OR(AND(学校マスタ!$H31&lt;&gt;"",学校マスタ!$H31&gt;=AB$3,学校マスタ!$H31&lt;AB$3+7),AND(学校マスタ!$J31&lt;&gt;"",学校マスタ!$J31&gt;=AB$3,学校マスタ!$J31&lt;AB$3+7),AND(学校マスタ!$L31&lt;&gt;"",学校マスタ!$L31&gt;=AB$3,学校マスタ!$L31&lt;AB$3+7)),"◆",IF(AND(学校マスタ!$O31&lt;&gt;"",学校マスタ!$P31&lt;&gt;"",学校マスタ!$O31&lt;AB$3+7,学校マスタ!$P31&gt;=AB$3),"█",IF(AND(学校マスタ!$R31&lt;&gt;"",学校マスタ!$U31&lt;&gt;"",学校マスタ!$R31&lt;AB$3+7,学校マスタ!$U31&gt;=AB$3),"▒","")))))</f>
        <v/>
      </c>
    </row>
    <row r="34">
      <c r="A34" s="19">
        <f>IF(学校マスタ!$A32="","",学校マスタ!$A32)</f>
        <v/>
      </c>
      <c r="B34" s="19">
        <f>IF(学校マスタ!$A32="","",学校マスタ!$C32)</f>
        <v/>
      </c>
      <c r="C34" s="19">
        <f>IF(学校マスタ!$A32="","",学校マスタ!$X32)</f>
        <v/>
      </c>
      <c r="D34" s="25">
        <f>IF(学校マスタ!$A32="","",学校マスタ!$R32)</f>
        <v/>
      </c>
      <c r="E34" s="26">
        <f>IF(学校マスタ!$A32="","",IF(AND(学校マスタ!$U32&lt;&gt;"",学校マスタ!$U32&gt;=E$3,学校マスタ!$U32&lt;E$3+7),"◎",IF(OR(AND(学校マスタ!$H32&lt;&gt;"",学校マスタ!$H32&gt;=E$3,学校マスタ!$H32&lt;E$3+7),AND(学校マスタ!$J32&lt;&gt;"",学校マスタ!$J32&gt;=E$3,学校マスタ!$J32&lt;E$3+7),AND(学校マスタ!$L32&lt;&gt;"",学校マスタ!$L32&gt;=E$3,学校マスタ!$L32&lt;E$3+7)),"◆",IF(AND(学校マスタ!$O32&lt;&gt;"",学校マスタ!$P32&lt;&gt;"",学校マスタ!$O32&lt;E$3+7,学校マスタ!$P32&gt;=E$3),"█",IF(AND(学校マスタ!$R32&lt;&gt;"",学校マスタ!$U32&lt;&gt;"",学校マスタ!$R32&lt;E$3+7,学校マスタ!$U32&gt;=E$3),"▒","")))))</f>
        <v/>
      </c>
      <c r="F34" s="26">
        <f>IF(学校マスタ!$A32="","",IF(AND(学校マスタ!$U32&lt;&gt;"",学校マスタ!$U32&gt;=F$3,学校マスタ!$U32&lt;F$3+7),"◎",IF(OR(AND(学校マスタ!$H32&lt;&gt;"",学校マスタ!$H32&gt;=F$3,学校マスタ!$H32&lt;F$3+7),AND(学校マスタ!$J32&lt;&gt;"",学校マスタ!$J32&gt;=F$3,学校マスタ!$J32&lt;F$3+7),AND(学校マスタ!$L32&lt;&gt;"",学校マスタ!$L32&gt;=F$3,学校マスタ!$L32&lt;F$3+7)),"◆",IF(AND(学校マスタ!$O32&lt;&gt;"",学校マスタ!$P32&lt;&gt;"",学校マスタ!$O32&lt;F$3+7,学校マスタ!$P32&gt;=F$3),"█",IF(AND(学校マスタ!$R32&lt;&gt;"",学校マスタ!$U32&lt;&gt;"",学校マスタ!$R32&lt;F$3+7,学校マスタ!$U32&gt;=F$3),"▒","")))))</f>
        <v/>
      </c>
      <c r="G34" s="26">
        <f>IF(学校マスタ!$A32="","",IF(AND(学校マスタ!$U32&lt;&gt;"",学校マスタ!$U32&gt;=G$3,学校マスタ!$U32&lt;G$3+7),"◎",IF(OR(AND(学校マスタ!$H32&lt;&gt;"",学校マスタ!$H32&gt;=G$3,学校マスタ!$H32&lt;G$3+7),AND(学校マスタ!$J32&lt;&gt;"",学校マスタ!$J32&gt;=G$3,学校マスタ!$J32&lt;G$3+7),AND(学校マスタ!$L32&lt;&gt;"",学校マスタ!$L32&gt;=G$3,学校マスタ!$L32&lt;G$3+7)),"◆",IF(AND(学校マスタ!$O32&lt;&gt;"",学校マスタ!$P32&lt;&gt;"",学校マスタ!$O32&lt;G$3+7,学校マスタ!$P32&gt;=G$3),"█",IF(AND(学校マスタ!$R32&lt;&gt;"",学校マスタ!$U32&lt;&gt;"",学校マスタ!$R32&lt;G$3+7,学校マスタ!$U32&gt;=G$3),"▒","")))))</f>
        <v/>
      </c>
      <c r="H34" s="26">
        <f>IF(学校マスタ!$A32="","",IF(AND(学校マスタ!$U32&lt;&gt;"",学校マスタ!$U32&gt;=H$3,学校マスタ!$U32&lt;H$3+7),"◎",IF(OR(AND(学校マスタ!$H32&lt;&gt;"",学校マスタ!$H32&gt;=H$3,学校マスタ!$H32&lt;H$3+7),AND(学校マスタ!$J32&lt;&gt;"",学校マスタ!$J32&gt;=H$3,学校マスタ!$J32&lt;H$3+7),AND(学校マスタ!$L32&lt;&gt;"",学校マスタ!$L32&gt;=H$3,学校マスタ!$L32&lt;H$3+7)),"◆",IF(AND(学校マスタ!$O32&lt;&gt;"",学校マスタ!$P32&lt;&gt;"",学校マスタ!$O32&lt;H$3+7,学校マスタ!$P32&gt;=H$3),"█",IF(AND(学校マスタ!$R32&lt;&gt;"",学校マスタ!$U32&lt;&gt;"",学校マスタ!$R32&lt;H$3+7,学校マスタ!$U32&gt;=H$3),"▒","")))))</f>
        <v/>
      </c>
      <c r="I34" s="26">
        <f>IF(学校マスタ!$A32="","",IF(AND(学校マスタ!$U32&lt;&gt;"",学校マスタ!$U32&gt;=I$3,学校マスタ!$U32&lt;I$3+7),"◎",IF(OR(AND(学校マスタ!$H32&lt;&gt;"",学校マスタ!$H32&gt;=I$3,学校マスタ!$H32&lt;I$3+7),AND(学校マスタ!$J32&lt;&gt;"",学校マスタ!$J32&gt;=I$3,学校マスタ!$J32&lt;I$3+7),AND(学校マスタ!$L32&lt;&gt;"",学校マスタ!$L32&gt;=I$3,学校マスタ!$L32&lt;I$3+7)),"◆",IF(AND(学校マスタ!$O32&lt;&gt;"",学校マスタ!$P32&lt;&gt;"",学校マスタ!$O32&lt;I$3+7,学校マスタ!$P32&gt;=I$3),"█",IF(AND(学校マスタ!$R32&lt;&gt;"",学校マスタ!$U32&lt;&gt;"",学校マスタ!$R32&lt;I$3+7,学校マスタ!$U32&gt;=I$3),"▒","")))))</f>
        <v/>
      </c>
      <c r="J34" s="26">
        <f>IF(学校マスタ!$A32="","",IF(AND(学校マスタ!$U32&lt;&gt;"",学校マスタ!$U32&gt;=J$3,学校マスタ!$U32&lt;J$3+7),"◎",IF(OR(AND(学校マスタ!$H32&lt;&gt;"",学校マスタ!$H32&gt;=J$3,学校マスタ!$H32&lt;J$3+7),AND(学校マスタ!$J32&lt;&gt;"",学校マスタ!$J32&gt;=J$3,学校マスタ!$J32&lt;J$3+7),AND(学校マスタ!$L32&lt;&gt;"",学校マスタ!$L32&gt;=J$3,学校マスタ!$L32&lt;J$3+7)),"◆",IF(AND(学校マスタ!$O32&lt;&gt;"",学校マスタ!$P32&lt;&gt;"",学校マスタ!$O32&lt;J$3+7,学校マスタ!$P32&gt;=J$3),"█",IF(AND(学校マスタ!$R32&lt;&gt;"",学校マスタ!$U32&lt;&gt;"",学校マスタ!$R32&lt;J$3+7,学校マスタ!$U32&gt;=J$3),"▒","")))))</f>
        <v/>
      </c>
      <c r="K34" s="26">
        <f>IF(学校マスタ!$A32="","",IF(AND(学校マスタ!$U32&lt;&gt;"",学校マスタ!$U32&gt;=K$3,学校マスタ!$U32&lt;K$3+7),"◎",IF(OR(AND(学校マスタ!$H32&lt;&gt;"",学校マスタ!$H32&gt;=K$3,学校マスタ!$H32&lt;K$3+7),AND(学校マスタ!$J32&lt;&gt;"",学校マスタ!$J32&gt;=K$3,学校マスタ!$J32&lt;K$3+7),AND(学校マスタ!$L32&lt;&gt;"",学校マスタ!$L32&gt;=K$3,学校マスタ!$L32&lt;K$3+7)),"◆",IF(AND(学校マスタ!$O32&lt;&gt;"",学校マスタ!$P32&lt;&gt;"",学校マスタ!$O32&lt;K$3+7,学校マスタ!$P32&gt;=K$3),"█",IF(AND(学校マスタ!$R32&lt;&gt;"",学校マスタ!$U32&lt;&gt;"",学校マスタ!$R32&lt;K$3+7,学校マスタ!$U32&gt;=K$3),"▒","")))))</f>
        <v/>
      </c>
      <c r="L34" s="26">
        <f>IF(学校マスタ!$A32="","",IF(AND(学校マスタ!$U32&lt;&gt;"",学校マスタ!$U32&gt;=L$3,学校マスタ!$U32&lt;L$3+7),"◎",IF(OR(AND(学校マスタ!$H32&lt;&gt;"",学校マスタ!$H32&gt;=L$3,学校マスタ!$H32&lt;L$3+7),AND(学校マスタ!$J32&lt;&gt;"",学校マスタ!$J32&gt;=L$3,学校マスタ!$J32&lt;L$3+7),AND(学校マスタ!$L32&lt;&gt;"",学校マスタ!$L32&gt;=L$3,学校マスタ!$L32&lt;L$3+7)),"◆",IF(AND(学校マスタ!$O32&lt;&gt;"",学校マスタ!$P32&lt;&gt;"",学校マスタ!$O32&lt;L$3+7,学校マスタ!$P32&gt;=L$3),"█",IF(AND(学校マスタ!$R32&lt;&gt;"",学校マスタ!$U32&lt;&gt;"",学校マスタ!$R32&lt;L$3+7,学校マスタ!$U32&gt;=L$3),"▒","")))))</f>
        <v/>
      </c>
      <c r="M34" s="26">
        <f>IF(学校マスタ!$A32="","",IF(AND(学校マスタ!$U32&lt;&gt;"",学校マスタ!$U32&gt;=M$3,学校マスタ!$U32&lt;M$3+7),"◎",IF(OR(AND(学校マスタ!$H32&lt;&gt;"",学校マスタ!$H32&gt;=M$3,学校マスタ!$H32&lt;M$3+7),AND(学校マスタ!$J32&lt;&gt;"",学校マスタ!$J32&gt;=M$3,学校マスタ!$J32&lt;M$3+7),AND(学校マスタ!$L32&lt;&gt;"",学校マスタ!$L32&gt;=M$3,学校マスタ!$L32&lt;M$3+7)),"◆",IF(AND(学校マスタ!$O32&lt;&gt;"",学校マスタ!$P32&lt;&gt;"",学校マスタ!$O32&lt;M$3+7,学校マスタ!$P32&gt;=M$3),"█",IF(AND(学校マスタ!$R32&lt;&gt;"",学校マスタ!$U32&lt;&gt;"",学校マスタ!$R32&lt;M$3+7,学校マスタ!$U32&gt;=M$3),"▒","")))))</f>
        <v/>
      </c>
      <c r="N34" s="26">
        <f>IF(学校マスタ!$A32="","",IF(AND(学校マスタ!$U32&lt;&gt;"",学校マスタ!$U32&gt;=N$3,学校マスタ!$U32&lt;N$3+7),"◎",IF(OR(AND(学校マスタ!$H32&lt;&gt;"",学校マスタ!$H32&gt;=N$3,学校マスタ!$H32&lt;N$3+7),AND(学校マスタ!$J32&lt;&gt;"",学校マスタ!$J32&gt;=N$3,学校マスタ!$J32&lt;N$3+7),AND(学校マスタ!$L32&lt;&gt;"",学校マスタ!$L32&gt;=N$3,学校マスタ!$L32&lt;N$3+7)),"◆",IF(AND(学校マスタ!$O32&lt;&gt;"",学校マスタ!$P32&lt;&gt;"",学校マスタ!$O32&lt;N$3+7,学校マスタ!$P32&gt;=N$3),"█",IF(AND(学校マスタ!$R32&lt;&gt;"",学校マスタ!$U32&lt;&gt;"",学校マスタ!$R32&lt;N$3+7,学校マスタ!$U32&gt;=N$3),"▒","")))))</f>
        <v/>
      </c>
      <c r="O34" s="26">
        <f>IF(学校マスタ!$A32="","",IF(AND(学校マスタ!$U32&lt;&gt;"",学校マスタ!$U32&gt;=O$3,学校マスタ!$U32&lt;O$3+7),"◎",IF(OR(AND(学校マスタ!$H32&lt;&gt;"",学校マスタ!$H32&gt;=O$3,学校マスタ!$H32&lt;O$3+7),AND(学校マスタ!$J32&lt;&gt;"",学校マスタ!$J32&gt;=O$3,学校マスタ!$J32&lt;O$3+7),AND(学校マスタ!$L32&lt;&gt;"",学校マスタ!$L32&gt;=O$3,学校マスタ!$L32&lt;O$3+7)),"◆",IF(AND(学校マスタ!$O32&lt;&gt;"",学校マスタ!$P32&lt;&gt;"",学校マスタ!$O32&lt;O$3+7,学校マスタ!$P32&gt;=O$3),"█",IF(AND(学校マスタ!$R32&lt;&gt;"",学校マスタ!$U32&lt;&gt;"",学校マスタ!$R32&lt;O$3+7,学校マスタ!$U32&gt;=O$3),"▒","")))))</f>
        <v/>
      </c>
      <c r="P34" s="26">
        <f>IF(学校マスタ!$A32="","",IF(AND(学校マスタ!$U32&lt;&gt;"",学校マスタ!$U32&gt;=P$3,学校マスタ!$U32&lt;P$3+7),"◎",IF(OR(AND(学校マスタ!$H32&lt;&gt;"",学校マスタ!$H32&gt;=P$3,学校マスタ!$H32&lt;P$3+7),AND(学校マスタ!$J32&lt;&gt;"",学校マスタ!$J32&gt;=P$3,学校マスタ!$J32&lt;P$3+7),AND(学校マスタ!$L32&lt;&gt;"",学校マスタ!$L32&gt;=P$3,学校マスタ!$L32&lt;P$3+7)),"◆",IF(AND(学校マスタ!$O32&lt;&gt;"",学校マスタ!$P32&lt;&gt;"",学校マスタ!$O32&lt;P$3+7,学校マスタ!$P32&gt;=P$3),"█",IF(AND(学校マスタ!$R32&lt;&gt;"",学校マスタ!$U32&lt;&gt;"",学校マスタ!$R32&lt;P$3+7,学校マスタ!$U32&gt;=P$3),"▒","")))))</f>
        <v/>
      </c>
      <c r="Q34" s="26">
        <f>IF(学校マスタ!$A32="","",IF(AND(学校マスタ!$U32&lt;&gt;"",学校マスタ!$U32&gt;=Q$3,学校マスタ!$U32&lt;Q$3+7),"◎",IF(OR(AND(学校マスタ!$H32&lt;&gt;"",学校マスタ!$H32&gt;=Q$3,学校マスタ!$H32&lt;Q$3+7),AND(学校マスタ!$J32&lt;&gt;"",学校マスタ!$J32&gt;=Q$3,学校マスタ!$J32&lt;Q$3+7),AND(学校マスタ!$L32&lt;&gt;"",学校マスタ!$L32&gt;=Q$3,学校マスタ!$L32&lt;Q$3+7)),"◆",IF(AND(学校マスタ!$O32&lt;&gt;"",学校マスタ!$P32&lt;&gt;"",学校マスタ!$O32&lt;Q$3+7,学校マスタ!$P32&gt;=Q$3),"█",IF(AND(学校マスタ!$R32&lt;&gt;"",学校マスタ!$U32&lt;&gt;"",学校マスタ!$R32&lt;Q$3+7,学校マスタ!$U32&gt;=Q$3),"▒","")))))</f>
        <v/>
      </c>
      <c r="R34" s="26">
        <f>IF(学校マスタ!$A32="","",IF(AND(学校マスタ!$U32&lt;&gt;"",学校マスタ!$U32&gt;=R$3,学校マスタ!$U32&lt;R$3+7),"◎",IF(OR(AND(学校マスタ!$H32&lt;&gt;"",学校マスタ!$H32&gt;=R$3,学校マスタ!$H32&lt;R$3+7),AND(学校マスタ!$J32&lt;&gt;"",学校マスタ!$J32&gt;=R$3,学校マスタ!$J32&lt;R$3+7),AND(学校マスタ!$L32&lt;&gt;"",学校マスタ!$L32&gt;=R$3,学校マスタ!$L32&lt;R$3+7)),"◆",IF(AND(学校マスタ!$O32&lt;&gt;"",学校マスタ!$P32&lt;&gt;"",学校マスタ!$O32&lt;R$3+7,学校マスタ!$P32&gt;=R$3),"█",IF(AND(学校マスタ!$R32&lt;&gt;"",学校マスタ!$U32&lt;&gt;"",学校マスタ!$R32&lt;R$3+7,学校マスタ!$U32&gt;=R$3),"▒","")))))</f>
        <v/>
      </c>
      <c r="S34" s="26">
        <f>IF(学校マスタ!$A32="","",IF(AND(学校マスタ!$U32&lt;&gt;"",学校マスタ!$U32&gt;=S$3,学校マスタ!$U32&lt;S$3+7),"◎",IF(OR(AND(学校マスタ!$H32&lt;&gt;"",学校マスタ!$H32&gt;=S$3,学校マスタ!$H32&lt;S$3+7),AND(学校マスタ!$J32&lt;&gt;"",学校マスタ!$J32&gt;=S$3,学校マスタ!$J32&lt;S$3+7),AND(学校マスタ!$L32&lt;&gt;"",学校マスタ!$L32&gt;=S$3,学校マスタ!$L32&lt;S$3+7)),"◆",IF(AND(学校マスタ!$O32&lt;&gt;"",学校マスタ!$P32&lt;&gt;"",学校マスタ!$O32&lt;S$3+7,学校マスタ!$P32&gt;=S$3),"█",IF(AND(学校マスタ!$R32&lt;&gt;"",学校マスタ!$U32&lt;&gt;"",学校マスタ!$R32&lt;S$3+7,学校マスタ!$U32&gt;=S$3),"▒","")))))</f>
        <v/>
      </c>
      <c r="T34" s="26">
        <f>IF(学校マスタ!$A32="","",IF(AND(学校マスタ!$U32&lt;&gt;"",学校マスタ!$U32&gt;=T$3,学校マスタ!$U32&lt;T$3+7),"◎",IF(OR(AND(学校マスタ!$H32&lt;&gt;"",学校マスタ!$H32&gt;=T$3,学校マスタ!$H32&lt;T$3+7),AND(学校マスタ!$J32&lt;&gt;"",学校マスタ!$J32&gt;=T$3,学校マスタ!$J32&lt;T$3+7),AND(学校マスタ!$L32&lt;&gt;"",学校マスタ!$L32&gt;=T$3,学校マスタ!$L32&lt;T$3+7)),"◆",IF(AND(学校マスタ!$O32&lt;&gt;"",学校マスタ!$P32&lt;&gt;"",学校マスタ!$O32&lt;T$3+7,学校マスタ!$P32&gt;=T$3),"█",IF(AND(学校マスタ!$R32&lt;&gt;"",学校マスタ!$U32&lt;&gt;"",学校マスタ!$R32&lt;T$3+7,学校マスタ!$U32&gt;=T$3),"▒","")))))</f>
        <v/>
      </c>
      <c r="U34" s="26">
        <f>IF(学校マスタ!$A32="","",IF(AND(学校マスタ!$U32&lt;&gt;"",学校マスタ!$U32&gt;=U$3,学校マスタ!$U32&lt;U$3+7),"◎",IF(OR(AND(学校マスタ!$H32&lt;&gt;"",学校マスタ!$H32&gt;=U$3,学校マスタ!$H32&lt;U$3+7),AND(学校マスタ!$J32&lt;&gt;"",学校マスタ!$J32&gt;=U$3,学校マスタ!$J32&lt;U$3+7),AND(学校マスタ!$L32&lt;&gt;"",学校マスタ!$L32&gt;=U$3,学校マスタ!$L32&lt;U$3+7)),"◆",IF(AND(学校マスタ!$O32&lt;&gt;"",学校マスタ!$P32&lt;&gt;"",学校マスタ!$O32&lt;U$3+7,学校マスタ!$P32&gt;=U$3),"█",IF(AND(学校マスタ!$R32&lt;&gt;"",学校マスタ!$U32&lt;&gt;"",学校マスタ!$R32&lt;U$3+7,学校マスタ!$U32&gt;=U$3),"▒","")))))</f>
        <v/>
      </c>
      <c r="V34" s="26">
        <f>IF(学校マスタ!$A32="","",IF(AND(学校マスタ!$U32&lt;&gt;"",学校マスタ!$U32&gt;=V$3,学校マスタ!$U32&lt;V$3+7),"◎",IF(OR(AND(学校マスタ!$H32&lt;&gt;"",学校マスタ!$H32&gt;=V$3,学校マスタ!$H32&lt;V$3+7),AND(学校マスタ!$J32&lt;&gt;"",学校マスタ!$J32&gt;=V$3,学校マスタ!$J32&lt;V$3+7),AND(学校マスタ!$L32&lt;&gt;"",学校マスタ!$L32&gt;=V$3,学校マスタ!$L32&lt;V$3+7)),"◆",IF(AND(学校マスタ!$O32&lt;&gt;"",学校マスタ!$P32&lt;&gt;"",学校マスタ!$O32&lt;V$3+7,学校マスタ!$P32&gt;=V$3),"█",IF(AND(学校マスタ!$R32&lt;&gt;"",学校マスタ!$U32&lt;&gt;"",学校マスタ!$R32&lt;V$3+7,学校マスタ!$U32&gt;=V$3),"▒","")))))</f>
        <v/>
      </c>
      <c r="W34" s="26">
        <f>IF(学校マスタ!$A32="","",IF(AND(学校マスタ!$U32&lt;&gt;"",学校マスタ!$U32&gt;=W$3,学校マスタ!$U32&lt;W$3+7),"◎",IF(OR(AND(学校マスタ!$H32&lt;&gt;"",学校マスタ!$H32&gt;=W$3,学校マスタ!$H32&lt;W$3+7),AND(学校マスタ!$J32&lt;&gt;"",学校マスタ!$J32&gt;=W$3,学校マスタ!$J32&lt;W$3+7),AND(学校マスタ!$L32&lt;&gt;"",学校マスタ!$L32&gt;=W$3,学校マスタ!$L32&lt;W$3+7)),"◆",IF(AND(学校マスタ!$O32&lt;&gt;"",学校マスタ!$P32&lt;&gt;"",学校マスタ!$O32&lt;W$3+7,学校マスタ!$P32&gt;=W$3),"█",IF(AND(学校マスタ!$R32&lt;&gt;"",学校マスタ!$U32&lt;&gt;"",学校マスタ!$R32&lt;W$3+7,学校マスタ!$U32&gt;=W$3),"▒","")))))</f>
        <v/>
      </c>
      <c r="X34" s="26">
        <f>IF(学校マスタ!$A32="","",IF(AND(学校マスタ!$U32&lt;&gt;"",学校マスタ!$U32&gt;=X$3,学校マスタ!$U32&lt;X$3+7),"◎",IF(OR(AND(学校マスタ!$H32&lt;&gt;"",学校マスタ!$H32&gt;=X$3,学校マスタ!$H32&lt;X$3+7),AND(学校マスタ!$J32&lt;&gt;"",学校マスタ!$J32&gt;=X$3,学校マスタ!$J32&lt;X$3+7),AND(学校マスタ!$L32&lt;&gt;"",学校マスタ!$L32&gt;=X$3,学校マスタ!$L32&lt;X$3+7)),"◆",IF(AND(学校マスタ!$O32&lt;&gt;"",学校マスタ!$P32&lt;&gt;"",学校マスタ!$O32&lt;X$3+7,学校マスタ!$P32&gt;=X$3),"█",IF(AND(学校マスタ!$R32&lt;&gt;"",学校マスタ!$U32&lt;&gt;"",学校マスタ!$R32&lt;X$3+7,学校マスタ!$U32&gt;=X$3),"▒","")))))</f>
        <v/>
      </c>
      <c r="Y34" s="26">
        <f>IF(学校マスタ!$A32="","",IF(AND(学校マスタ!$U32&lt;&gt;"",学校マスタ!$U32&gt;=Y$3,学校マスタ!$U32&lt;Y$3+7),"◎",IF(OR(AND(学校マスタ!$H32&lt;&gt;"",学校マスタ!$H32&gt;=Y$3,学校マスタ!$H32&lt;Y$3+7),AND(学校マスタ!$J32&lt;&gt;"",学校マスタ!$J32&gt;=Y$3,学校マスタ!$J32&lt;Y$3+7),AND(学校マスタ!$L32&lt;&gt;"",学校マスタ!$L32&gt;=Y$3,学校マスタ!$L32&lt;Y$3+7)),"◆",IF(AND(学校マスタ!$O32&lt;&gt;"",学校マスタ!$P32&lt;&gt;"",学校マスタ!$O32&lt;Y$3+7,学校マスタ!$P32&gt;=Y$3),"█",IF(AND(学校マスタ!$R32&lt;&gt;"",学校マスタ!$U32&lt;&gt;"",学校マスタ!$R32&lt;Y$3+7,学校マスタ!$U32&gt;=Y$3),"▒","")))))</f>
        <v/>
      </c>
      <c r="Z34" s="26">
        <f>IF(学校マスタ!$A32="","",IF(AND(学校マスタ!$U32&lt;&gt;"",学校マスタ!$U32&gt;=Z$3,学校マスタ!$U32&lt;Z$3+7),"◎",IF(OR(AND(学校マスタ!$H32&lt;&gt;"",学校マスタ!$H32&gt;=Z$3,学校マスタ!$H32&lt;Z$3+7),AND(学校マスタ!$J32&lt;&gt;"",学校マスタ!$J32&gt;=Z$3,学校マスタ!$J32&lt;Z$3+7),AND(学校マスタ!$L32&lt;&gt;"",学校マスタ!$L32&gt;=Z$3,学校マスタ!$L32&lt;Z$3+7)),"◆",IF(AND(学校マスタ!$O32&lt;&gt;"",学校マスタ!$P32&lt;&gt;"",学校マスタ!$O32&lt;Z$3+7,学校マスタ!$P32&gt;=Z$3),"█",IF(AND(学校マスタ!$R32&lt;&gt;"",学校マスタ!$U32&lt;&gt;"",学校マスタ!$R32&lt;Z$3+7,学校マスタ!$U32&gt;=Z$3),"▒","")))))</f>
        <v/>
      </c>
      <c r="AA34" s="26">
        <f>IF(学校マスタ!$A32="","",IF(AND(学校マスタ!$U32&lt;&gt;"",学校マスタ!$U32&gt;=AA$3,学校マスタ!$U32&lt;AA$3+7),"◎",IF(OR(AND(学校マスタ!$H32&lt;&gt;"",学校マスタ!$H32&gt;=AA$3,学校マスタ!$H32&lt;AA$3+7),AND(学校マスタ!$J32&lt;&gt;"",学校マスタ!$J32&gt;=AA$3,学校マスタ!$J32&lt;AA$3+7),AND(学校マスタ!$L32&lt;&gt;"",学校マスタ!$L32&gt;=AA$3,学校マスタ!$L32&lt;AA$3+7)),"◆",IF(AND(学校マスタ!$O32&lt;&gt;"",学校マスタ!$P32&lt;&gt;"",学校マスタ!$O32&lt;AA$3+7,学校マスタ!$P32&gt;=AA$3),"█",IF(AND(学校マスタ!$R32&lt;&gt;"",学校マスタ!$U32&lt;&gt;"",学校マスタ!$R32&lt;AA$3+7,学校マスタ!$U32&gt;=AA$3),"▒","")))))</f>
        <v/>
      </c>
      <c r="AB34" s="26">
        <f>IF(学校マスタ!$A32="","",IF(AND(学校マスタ!$U32&lt;&gt;"",学校マスタ!$U32&gt;=AB$3,学校マスタ!$U32&lt;AB$3+7),"◎",IF(OR(AND(学校マスタ!$H32&lt;&gt;"",学校マスタ!$H32&gt;=AB$3,学校マスタ!$H32&lt;AB$3+7),AND(学校マスタ!$J32&lt;&gt;"",学校マスタ!$J32&gt;=AB$3,学校マスタ!$J32&lt;AB$3+7),AND(学校マスタ!$L32&lt;&gt;"",学校マスタ!$L32&gt;=AB$3,学校マスタ!$L32&lt;AB$3+7)),"◆",IF(AND(学校マスタ!$O32&lt;&gt;"",学校マスタ!$P32&lt;&gt;"",学校マスタ!$O32&lt;AB$3+7,学校マスタ!$P32&gt;=AB$3),"█",IF(AND(学校マスタ!$R32&lt;&gt;"",学校マスタ!$U32&lt;&gt;"",学校マスタ!$R32&lt;AB$3+7,学校マスタ!$U32&gt;=AB$3),"▒","")))))</f>
        <v/>
      </c>
    </row>
    <row r="35">
      <c r="A35" s="19">
        <f>IF(学校マスタ!$A33="","",学校マスタ!$A33)</f>
        <v/>
      </c>
      <c r="B35" s="19">
        <f>IF(学校マスタ!$A33="","",学校マスタ!$C33)</f>
        <v/>
      </c>
      <c r="C35" s="19">
        <f>IF(学校マスタ!$A33="","",学校マスタ!$X33)</f>
        <v/>
      </c>
      <c r="D35" s="25">
        <f>IF(学校マスタ!$A33="","",学校マスタ!$R33)</f>
        <v/>
      </c>
      <c r="E35" s="26">
        <f>IF(学校マスタ!$A33="","",IF(AND(学校マスタ!$U33&lt;&gt;"",学校マスタ!$U33&gt;=E$3,学校マスタ!$U33&lt;E$3+7),"◎",IF(OR(AND(学校マスタ!$H33&lt;&gt;"",学校マスタ!$H33&gt;=E$3,学校マスタ!$H33&lt;E$3+7),AND(学校マスタ!$J33&lt;&gt;"",学校マスタ!$J33&gt;=E$3,学校マスタ!$J33&lt;E$3+7),AND(学校マスタ!$L33&lt;&gt;"",学校マスタ!$L33&gt;=E$3,学校マスタ!$L33&lt;E$3+7)),"◆",IF(AND(学校マスタ!$O33&lt;&gt;"",学校マスタ!$P33&lt;&gt;"",学校マスタ!$O33&lt;E$3+7,学校マスタ!$P33&gt;=E$3),"█",IF(AND(学校マスタ!$R33&lt;&gt;"",学校マスタ!$U33&lt;&gt;"",学校マスタ!$R33&lt;E$3+7,学校マスタ!$U33&gt;=E$3),"▒","")))))</f>
        <v/>
      </c>
      <c r="F35" s="26">
        <f>IF(学校マスタ!$A33="","",IF(AND(学校マスタ!$U33&lt;&gt;"",学校マスタ!$U33&gt;=F$3,学校マスタ!$U33&lt;F$3+7),"◎",IF(OR(AND(学校マスタ!$H33&lt;&gt;"",学校マスタ!$H33&gt;=F$3,学校マスタ!$H33&lt;F$3+7),AND(学校マスタ!$J33&lt;&gt;"",学校マスタ!$J33&gt;=F$3,学校マスタ!$J33&lt;F$3+7),AND(学校マスタ!$L33&lt;&gt;"",学校マスタ!$L33&gt;=F$3,学校マスタ!$L33&lt;F$3+7)),"◆",IF(AND(学校マスタ!$O33&lt;&gt;"",学校マスタ!$P33&lt;&gt;"",学校マスタ!$O33&lt;F$3+7,学校マスタ!$P33&gt;=F$3),"█",IF(AND(学校マスタ!$R33&lt;&gt;"",学校マスタ!$U33&lt;&gt;"",学校マスタ!$R33&lt;F$3+7,学校マスタ!$U33&gt;=F$3),"▒","")))))</f>
        <v/>
      </c>
      <c r="G35" s="26">
        <f>IF(学校マスタ!$A33="","",IF(AND(学校マスタ!$U33&lt;&gt;"",学校マスタ!$U33&gt;=G$3,学校マスタ!$U33&lt;G$3+7),"◎",IF(OR(AND(学校マスタ!$H33&lt;&gt;"",学校マスタ!$H33&gt;=G$3,学校マスタ!$H33&lt;G$3+7),AND(学校マスタ!$J33&lt;&gt;"",学校マスタ!$J33&gt;=G$3,学校マスタ!$J33&lt;G$3+7),AND(学校マスタ!$L33&lt;&gt;"",学校マスタ!$L33&gt;=G$3,学校マスタ!$L33&lt;G$3+7)),"◆",IF(AND(学校マスタ!$O33&lt;&gt;"",学校マスタ!$P33&lt;&gt;"",学校マスタ!$O33&lt;G$3+7,学校マスタ!$P33&gt;=G$3),"█",IF(AND(学校マスタ!$R33&lt;&gt;"",学校マスタ!$U33&lt;&gt;"",学校マスタ!$R33&lt;G$3+7,学校マスタ!$U33&gt;=G$3),"▒","")))))</f>
        <v/>
      </c>
      <c r="H35" s="26">
        <f>IF(学校マスタ!$A33="","",IF(AND(学校マスタ!$U33&lt;&gt;"",学校マスタ!$U33&gt;=H$3,学校マスタ!$U33&lt;H$3+7),"◎",IF(OR(AND(学校マスタ!$H33&lt;&gt;"",学校マスタ!$H33&gt;=H$3,学校マスタ!$H33&lt;H$3+7),AND(学校マスタ!$J33&lt;&gt;"",学校マスタ!$J33&gt;=H$3,学校マスタ!$J33&lt;H$3+7),AND(学校マスタ!$L33&lt;&gt;"",学校マスタ!$L33&gt;=H$3,学校マスタ!$L33&lt;H$3+7)),"◆",IF(AND(学校マスタ!$O33&lt;&gt;"",学校マスタ!$P33&lt;&gt;"",学校マスタ!$O33&lt;H$3+7,学校マスタ!$P33&gt;=H$3),"█",IF(AND(学校マスタ!$R33&lt;&gt;"",学校マスタ!$U33&lt;&gt;"",学校マスタ!$R33&lt;H$3+7,学校マスタ!$U33&gt;=H$3),"▒","")))))</f>
        <v/>
      </c>
      <c r="I35" s="26">
        <f>IF(学校マスタ!$A33="","",IF(AND(学校マスタ!$U33&lt;&gt;"",学校マスタ!$U33&gt;=I$3,学校マスタ!$U33&lt;I$3+7),"◎",IF(OR(AND(学校マスタ!$H33&lt;&gt;"",学校マスタ!$H33&gt;=I$3,学校マスタ!$H33&lt;I$3+7),AND(学校マスタ!$J33&lt;&gt;"",学校マスタ!$J33&gt;=I$3,学校マスタ!$J33&lt;I$3+7),AND(学校マスタ!$L33&lt;&gt;"",学校マスタ!$L33&gt;=I$3,学校マスタ!$L33&lt;I$3+7)),"◆",IF(AND(学校マスタ!$O33&lt;&gt;"",学校マスタ!$P33&lt;&gt;"",学校マスタ!$O33&lt;I$3+7,学校マスタ!$P33&gt;=I$3),"█",IF(AND(学校マスタ!$R33&lt;&gt;"",学校マスタ!$U33&lt;&gt;"",学校マスタ!$R33&lt;I$3+7,学校マスタ!$U33&gt;=I$3),"▒","")))))</f>
        <v/>
      </c>
      <c r="J35" s="26">
        <f>IF(学校マスタ!$A33="","",IF(AND(学校マスタ!$U33&lt;&gt;"",学校マスタ!$U33&gt;=J$3,学校マスタ!$U33&lt;J$3+7),"◎",IF(OR(AND(学校マスタ!$H33&lt;&gt;"",学校マスタ!$H33&gt;=J$3,学校マスタ!$H33&lt;J$3+7),AND(学校マスタ!$J33&lt;&gt;"",学校マスタ!$J33&gt;=J$3,学校マスタ!$J33&lt;J$3+7),AND(学校マスタ!$L33&lt;&gt;"",学校マスタ!$L33&gt;=J$3,学校マスタ!$L33&lt;J$3+7)),"◆",IF(AND(学校マスタ!$O33&lt;&gt;"",学校マスタ!$P33&lt;&gt;"",学校マスタ!$O33&lt;J$3+7,学校マスタ!$P33&gt;=J$3),"█",IF(AND(学校マスタ!$R33&lt;&gt;"",学校マスタ!$U33&lt;&gt;"",学校マスタ!$R33&lt;J$3+7,学校マスタ!$U33&gt;=J$3),"▒","")))))</f>
        <v/>
      </c>
      <c r="K35" s="26">
        <f>IF(学校マスタ!$A33="","",IF(AND(学校マスタ!$U33&lt;&gt;"",学校マスタ!$U33&gt;=K$3,学校マスタ!$U33&lt;K$3+7),"◎",IF(OR(AND(学校マスタ!$H33&lt;&gt;"",学校マスタ!$H33&gt;=K$3,学校マスタ!$H33&lt;K$3+7),AND(学校マスタ!$J33&lt;&gt;"",学校マスタ!$J33&gt;=K$3,学校マスタ!$J33&lt;K$3+7),AND(学校マスタ!$L33&lt;&gt;"",学校マスタ!$L33&gt;=K$3,学校マスタ!$L33&lt;K$3+7)),"◆",IF(AND(学校マスタ!$O33&lt;&gt;"",学校マスタ!$P33&lt;&gt;"",学校マスタ!$O33&lt;K$3+7,学校マスタ!$P33&gt;=K$3),"█",IF(AND(学校マスタ!$R33&lt;&gt;"",学校マスタ!$U33&lt;&gt;"",学校マスタ!$R33&lt;K$3+7,学校マスタ!$U33&gt;=K$3),"▒","")))))</f>
        <v/>
      </c>
      <c r="L35" s="26">
        <f>IF(学校マスタ!$A33="","",IF(AND(学校マスタ!$U33&lt;&gt;"",学校マスタ!$U33&gt;=L$3,学校マスタ!$U33&lt;L$3+7),"◎",IF(OR(AND(学校マスタ!$H33&lt;&gt;"",学校マスタ!$H33&gt;=L$3,学校マスタ!$H33&lt;L$3+7),AND(学校マスタ!$J33&lt;&gt;"",学校マスタ!$J33&gt;=L$3,学校マスタ!$J33&lt;L$3+7),AND(学校マスタ!$L33&lt;&gt;"",学校マスタ!$L33&gt;=L$3,学校マスタ!$L33&lt;L$3+7)),"◆",IF(AND(学校マスタ!$O33&lt;&gt;"",学校マスタ!$P33&lt;&gt;"",学校マスタ!$O33&lt;L$3+7,学校マスタ!$P33&gt;=L$3),"█",IF(AND(学校マスタ!$R33&lt;&gt;"",学校マスタ!$U33&lt;&gt;"",学校マスタ!$R33&lt;L$3+7,学校マスタ!$U33&gt;=L$3),"▒","")))))</f>
        <v/>
      </c>
      <c r="M35" s="26">
        <f>IF(学校マスタ!$A33="","",IF(AND(学校マスタ!$U33&lt;&gt;"",学校マスタ!$U33&gt;=M$3,学校マスタ!$U33&lt;M$3+7),"◎",IF(OR(AND(学校マスタ!$H33&lt;&gt;"",学校マスタ!$H33&gt;=M$3,学校マスタ!$H33&lt;M$3+7),AND(学校マスタ!$J33&lt;&gt;"",学校マスタ!$J33&gt;=M$3,学校マスタ!$J33&lt;M$3+7),AND(学校マスタ!$L33&lt;&gt;"",学校マスタ!$L33&gt;=M$3,学校マスタ!$L33&lt;M$3+7)),"◆",IF(AND(学校マスタ!$O33&lt;&gt;"",学校マスタ!$P33&lt;&gt;"",学校マスタ!$O33&lt;M$3+7,学校マスタ!$P33&gt;=M$3),"█",IF(AND(学校マスタ!$R33&lt;&gt;"",学校マスタ!$U33&lt;&gt;"",学校マスタ!$R33&lt;M$3+7,学校マスタ!$U33&gt;=M$3),"▒","")))))</f>
        <v/>
      </c>
      <c r="N35" s="26">
        <f>IF(学校マスタ!$A33="","",IF(AND(学校マスタ!$U33&lt;&gt;"",学校マスタ!$U33&gt;=N$3,学校マスタ!$U33&lt;N$3+7),"◎",IF(OR(AND(学校マスタ!$H33&lt;&gt;"",学校マスタ!$H33&gt;=N$3,学校マスタ!$H33&lt;N$3+7),AND(学校マスタ!$J33&lt;&gt;"",学校マスタ!$J33&gt;=N$3,学校マスタ!$J33&lt;N$3+7),AND(学校マスタ!$L33&lt;&gt;"",学校マスタ!$L33&gt;=N$3,学校マスタ!$L33&lt;N$3+7)),"◆",IF(AND(学校マスタ!$O33&lt;&gt;"",学校マスタ!$P33&lt;&gt;"",学校マスタ!$O33&lt;N$3+7,学校マスタ!$P33&gt;=N$3),"█",IF(AND(学校マスタ!$R33&lt;&gt;"",学校マスタ!$U33&lt;&gt;"",学校マスタ!$R33&lt;N$3+7,学校マスタ!$U33&gt;=N$3),"▒","")))))</f>
        <v/>
      </c>
      <c r="O35" s="26">
        <f>IF(学校マスタ!$A33="","",IF(AND(学校マスタ!$U33&lt;&gt;"",学校マスタ!$U33&gt;=O$3,学校マスタ!$U33&lt;O$3+7),"◎",IF(OR(AND(学校マスタ!$H33&lt;&gt;"",学校マスタ!$H33&gt;=O$3,学校マスタ!$H33&lt;O$3+7),AND(学校マスタ!$J33&lt;&gt;"",学校マスタ!$J33&gt;=O$3,学校マスタ!$J33&lt;O$3+7),AND(学校マスタ!$L33&lt;&gt;"",学校マスタ!$L33&gt;=O$3,学校マスタ!$L33&lt;O$3+7)),"◆",IF(AND(学校マスタ!$O33&lt;&gt;"",学校マスタ!$P33&lt;&gt;"",学校マスタ!$O33&lt;O$3+7,学校マスタ!$P33&gt;=O$3),"█",IF(AND(学校マスタ!$R33&lt;&gt;"",学校マスタ!$U33&lt;&gt;"",学校マスタ!$R33&lt;O$3+7,学校マスタ!$U33&gt;=O$3),"▒","")))))</f>
        <v/>
      </c>
      <c r="P35" s="26">
        <f>IF(学校マスタ!$A33="","",IF(AND(学校マスタ!$U33&lt;&gt;"",学校マスタ!$U33&gt;=P$3,学校マスタ!$U33&lt;P$3+7),"◎",IF(OR(AND(学校マスタ!$H33&lt;&gt;"",学校マスタ!$H33&gt;=P$3,学校マスタ!$H33&lt;P$3+7),AND(学校マスタ!$J33&lt;&gt;"",学校マスタ!$J33&gt;=P$3,学校マスタ!$J33&lt;P$3+7),AND(学校マスタ!$L33&lt;&gt;"",学校マスタ!$L33&gt;=P$3,学校マスタ!$L33&lt;P$3+7)),"◆",IF(AND(学校マスタ!$O33&lt;&gt;"",学校マスタ!$P33&lt;&gt;"",学校マスタ!$O33&lt;P$3+7,学校マスタ!$P33&gt;=P$3),"█",IF(AND(学校マスタ!$R33&lt;&gt;"",学校マスタ!$U33&lt;&gt;"",学校マスタ!$R33&lt;P$3+7,学校マスタ!$U33&gt;=P$3),"▒","")))))</f>
        <v/>
      </c>
      <c r="Q35" s="26">
        <f>IF(学校マスタ!$A33="","",IF(AND(学校マスタ!$U33&lt;&gt;"",学校マスタ!$U33&gt;=Q$3,学校マスタ!$U33&lt;Q$3+7),"◎",IF(OR(AND(学校マスタ!$H33&lt;&gt;"",学校マスタ!$H33&gt;=Q$3,学校マスタ!$H33&lt;Q$3+7),AND(学校マスタ!$J33&lt;&gt;"",学校マスタ!$J33&gt;=Q$3,学校マスタ!$J33&lt;Q$3+7),AND(学校マスタ!$L33&lt;&gt;"",学校マスタ!$L33&gt;=Q$3,学校マスタ!$L33&lt;Q$3+7)),"◆",IF(AND(学校マスタ!$O33&lt;&gt;"",学校マスタ!$P33&lt;&gt;"",学校マスタ!$O33&lt;Q$3+7,学校マスタ!$P33&gt;=Q$3),"█",IF(AND(学校マスタ!$R33&lt;&gt;"",学校マスタ!$U33&lt;&gt;"",学校マスタ!$R33&lt;Q$3+7,学校マスタ!$U33&gt;=Q$3),"▒","")))))</f>
        <v/>
      </c>
      <c r="R35" s="26">
        <f>IF(学校マスタ!$A33="","",IF(AND(学校マスタ!$U33&lt;&gt;"",学校マスタ!$U33&gt;=R$3,学校マスタ!$U33&lt;R$3+7),"◎",IF(OR(AND(学校マスタ!$H33&lt;&gt;"",学校マスタ!$H33&gt;=R$3,学校マスタ!$H33&lt;R$3+7),AND(学校マスタ!$J33&lt;&gt;"",学校マスタ!$J33&gt;=R$3,学校マスタ!$J33&lt;R$3+7),AND(学校マスタ!$L33&lt;&gt;"",学校マスタ!$L33&gt;=R$3,学校マスタ!$L33&lt;R$3+7)),"◆",IF(AND(学校マスタ!$O33&lt;&gt;"",学校マスタ!$P33&lt;&gt;"",学校マスタ!$O33&lt;R$3+7,学校マスタ!$P33&gt;=R$3),"█",IF(AND(学校マスタ!$R33&lt;&gt;"",学校マスタ!$U33&lt;&gt;"",学校マスタ!$R33&lt;R$3+7,学校マスタ!$U33&gt;=R$3),"▒","")))))</f>
        <v/>
      </c>
      <c r="S35" s="26">
        <f>IF(学校マスタ!$A33="","",IF(AND(学校マスタ!$U33&lt;&gt;"",学校マスタ!$U33&gt;=S$3,学校マスタ!$U33&lt;S$3+7),"◎",IF(OR(AND(学校マスタ!$H33&lt;&gt;"",学校マスタ!$H33&gt;=S$3,学校マスタ!$H33&lt;S$3+7),AND(学校マスタ!$J33&lt;&gt;"",学校マスタ!$J33&gt;=S$3,学校マスタ!$J33&lt;S$3+7),AND(学校マスタ!$L33&lt;&gt;"",学校マスタ!$L33&gt;=S$3,学校マスタ!$L33&lt;S$3+7)),"◆",IF(AND(学校マスタ!$O33&lt;&gt;"",学校マスタ!$P33&lt;&gt;"",学校マスタ!$O33&lt;S$3+7,学校マスタ!$P33&gt;=S$3),"█",IF(AND(学校マスタ!$R33&lt;&gt;"",学校マスタ!$U33&lt;&gt;"",学校マスタ!$R33&lt;S$3+7,学校マスタ!$U33&gt;=S$3),"▒","")))))</f>
        <v/>
      </c>
      <c r="T35" s="26">
        <f>IF(学校マスタ!$A33="","",IF(AND(学校マスタ!$U33&lt;&gt;"",学校マスタ!$U33&gt;=T$3,学校マスタ!$U33&lt;T$3+7),"◎",IF(OR(AND(学校マスタ!$H33&lt;&gt;"",学校マスタ!$H33&gt;=T$3,学校マスタ!$H33&lt;T$3+7),AND(学校マスタ!$J33&lt;&gt;"",学校マスタ!$J33&gt;=T$3,学校マスタ!$J33&lt;T$3+7),AND(学校マスタ!$L33&lt;&gt;"",学校マスタ!$L33&gt;=T$3,学校マスタ!$L33&lt;T$3+7)),"◆",IF(AND(学校マスタ!$O33&lt;&gt;"",学校マスタ!$P33&lt;&gt;"",学校マスタ!$O33&lt;T$3+7,学校マスタ!$P33&gt;=T$3),"█",IF(AND(学校マスタ!$R33&lt;&gt;"",学校マスタ!$U33&lt;&gt;"",学校マスタ!$R33&lt;T$3+7,学校マスタ!$U33&gt;=T$3),"▒","")))))</f>
        <v/>
      </c>
      <c r="U35" s="26">
        <f>IF(学校マスタ!$A33="","",IF(AND(学校マスタ!$U33&lt;&gt;"",学校マスタ!$U33&gt;=U$3,学校マスタ!$U33&lt;U$3+7),"◎",IF(OR(AND(学校マスタ!$H33&lt;&gt;"",学校マスタ!$H33&gt;=U$3,学校マスタ!$H33&lt;U$3+7),AND(学校マスタ!$J33&lt;&gt;"",学校マスタ!$J33&gt;=U$3,学校マスタ!$J33&lt;U$3+7),AND(学校マスタ!$L33&lt;&gt;"",学校マスタ!$L33&gt;=U$3,学校マスタ!$L33&lt;U$3+7)),"◆",IF(AND(学校マスタ!$O33&lt;&gt;"",学校マスタ!$P33&lt;&gt;"",学校マスタ!$O33&lt;U$3+7,学校マスタ!$P33&gt;=U$3),"█",IF(AND(学校マスタ!$R33&lt;&gt;"",学校マスタ!$U33&lt;&gt;"",学校マスタ!$R33&lt;U$3+7,学校マスタ!$U33&gt;=U$3),"▒","")))))</f>
        <v/>
      </c>
      <c r="V35" s="26">
        <f>IF(学校マスタ!$A33="","",IF(AND(学校マスタ!$U33&lt;&gt;"",学校マスタ!$U33&gt;=V$3,学校マスタ!$U33&lt;V$3+7),"◎",IF(OR(AND(学校マスタ!$H33&lt;&gt;"",学校マスタ!$H33&gt;=V$3,学校マスタ!$H33&lt;V$3+7),AND(学校マスタ!$J33&lt;&gt;"",学校マスタ!$J33&gt;=V$3,学校マスタ!$J33&lt;V$3+7),AND(学校マスタ!$L33&lt;&gt;"",学校マスタ!$L33&gt;=V$3,学校マスタ!$L33&lt;V$3+7)),"◆",IF(AND(学校マスタ!$O33&lt;&gt;"",学校マスタ!$P33&lt;&gt;"",学校マスタ!$O33&lt;V$3+7,学校マスタ!$P33&gt;=V$3),"█",IF(AND(学校マスタ!$R33&lt;&gt;"",学校マスタ!$U33&lt;&gt;"",学校マスタ!$R33&lt;V$3+7,学校マスタ!$U33&gt;=V$3),"▒","")))))</f>
        <v/>
      </c>
      <c r="W35" s="26">
        <f>IF(学校マスタ!$A33="","",IF(AND(学校マスタ!$U33&lt;&gt;"",学校マスタ!$U33&gt;=W$3,学校マスタ!$U33&lt;W$3+7),"◎",IF(OR(AND(学校マスタ!$H33&lt;&gt;"",学校マスタ!$H33&gt;=W$3,学校マスタ!$H33&lt;W$3+7),AND(学校マスタ!$J33&lt;&gt;"",学校マスタ!$J33&gt;=W$3,学校マスタ!$J33&lt;W$3+7),AND(学校マスタ!$L33&lt;&gt;"",学校マスタ!$L33&gt;=W$3,学校マスタ!$L33&lt;W$3+7)),"◆",IF(AND(学校マスタ!$O33&lt;&gt;"",学校マスタ!$P33&lt;&gt;"",学校マスタ!$O33&lt;W$3+7,学校マスタ!$P33&gt;=W$3),"█",IF(AND(学校マスタ!$R33&lt;&gt;"",学校マスタ!$U33&lt;&gt;"",学校マスタ!$R33&lt;W$3+7,学校マスタ!$U33&gt;=W$3),"▒","")))))</f>
        <v/>
      </c>
      <c r="X35" s="26">
        <f>IF(学校マスタ!$A33="","",IF(AND(学校マスタ!$U33&lt;&gt;"",学校マスタ!$U33&gt;=X$3,学校マスタ!$U33&lt;X$3+7),"◎",IF(OR(AND(学校マスタ!$H33&lt;&gt;"",学校マスタ!$H33&gt;=X$3,学校マスタ!$H33&lt;X$3+7),AND(学校マスタ!$J33&lt;&gt;"",学校マスタ!$J33&gt;=X$3,学校マスタ!$J33&lt;X$3+7),AND(学校マスタ!$L33&lt;&gt;"",学校マスタ!$L33&gt;=X$3,学校マスタ!$L33&lt;X$3+7)),"◆",IF(AND(学校マスタ!$O33&lt;&gt;"",学校マスタ!$P33&lt;&gt;"",学校マスタ!$O33&lt;X$3+7,学校マスタ!$P33&gt;=X$3),"█",IF(AND(学校マスタ!$R33&lt;&gt;"",学校マスタ!$U33&lt;&gt;"",学校マスタ!$R33&lt;X$3+7,学校マスタ!$U33&gt;=X$3),"▒","")))))</f>
        <v/>
      </c>
      <c r="Y35" s="26">
        <f>IF(学校マスタ!$A33="","",IF(AND(学校マスタ!$U33&lt;&gt;"",学校マスタ!$U33&gt;=Y$3,学校マスタ!$U33&lt;Y$3+7),"◎",IF(OR(AND(学校マスタ!$H33&lt;&gt;"",学校マスタ!$H33&gt;=Y$3,学校マスタ!$H33&lt;Y$3+7),AND(学校マスタ!$J33&lt;&gt;"",学校マスタ!$J33&gt;=Y$3,学校マスタ!$J33&lt;Y$3+7),AND(学校マスタ!$L33&lt;&gt;"",学校マスタ!$L33&gt;=Y$3,学校マスタ!$L33&lt;Y$3+7)),"◆",IF(AND(学校マスタ!$O33&lt;&gt;"",学校マスタ!$P33&lt;&gt;"",学校マスタ!$O33&lt;Y$3+7,学校マスタ!$P33&gt;=Y$3),"█",IF(AND(学校マスタ!$R33&lt;&gt;"",学校マスタ!$U33&lt;&gt;"",学校マスタ!$R33&lt;Y$3+7,学校マスタ!$U33&gt;=Y$3),"▒","")))))</f>
        <v/>
      </c>
      <c r="Z35" s="26">
        <f>IF(学校マスタ!$A33="","",IF(AND(学校マスタ!$U33&lt;&gt;"",学校マスタ!$U33&gt;=Z$3,学校マスタ!$U33&lt;Z$3+7),"◎",IF(OR(AND(学校マスタ!$H33&lt;&gt;"",学校マスタ!$H33&gt;=Z$3,学校マスタ!$H33&lt;Z$3+7),AND(学校マスタ!$J33&lt;&gt;"",学校マスタ!$J33&gt;=Z$3,学校マスタ!$J33&lt;Z$3+7),AND(学校マスタ!$L33&lt;&gt;"",学校マスタ!$L33&gt;=Z$3,学校マスタ!$L33&lt;Z$3+7)),"◆",IF(AND(学校マスタ!$O33&lt;&gt;"",学校マスタ!$P33&lt;&gt;"",学校マスタ!$O33&lt;Z$3+7,学校マスタ!$P33&gt;=Z$3),"█",IF(AND(学校マスタ!$R33&lt;&gt;"",学校マスタ!$U33&lt;&gt;"",学校マスタ!$R33&lt;Z$3+7,学校マスタ!$U33&gt;=Z$3),"▒","")))))</f>
        <v/>
      </c>
      <c r="AA35" s="26">
        <f>IF(学校マスタ!$A33="","",IF(AND(学校マスタ!$U33&lt;&gt;"",学校マスタ!$U33&gt;=AA$3,学校マスタ!$U33&lt;AA$3+7),"◎",IF(OR(AND(学校マスタ!$H33&lt;&gt;"",学校マスタ!$H33&gt;=AA$3,学校マスタ!$H33&lt;AA$3+7),AND(学校マスタ!$J33&lt;&gt;"",学校マスタ!$J33&gt;=AA$3,学校マスタ!$J33&lt;AA$3+7),AND(学校マスタ!$L33&lt;&gt;"",学校マスタ!$L33&gt;=AA$3,学校マスタ!$L33&lt;AA$3+7)),"◆",IF(AND(学校マスタ!$O33&lt;&gt;"",学校マスタ!$P33&lt;&gt;"",学校マスタ!$O33&lt;AA$3+7,学校マスタ!$P33&gt;=AA$3),"█",IF(AND(学校マスタ!$R33&lt;&gt;"",学校マスタ!$U33&lt;&gt;"",学校マスタ!$R33&lt;AA$3+7,学校マスタ!$U33&gt;=AA$3),"▒","")))))</f>
        <v/>
      </c>
      <c r="AB35" s="26">
        <f>IF(学校マスタ!$A33="","",IF(AND(学校マスタ!$U33&lt;&gt;"",学校マスタ!$U33&gt;=AB$3,学校マスタ!$U33&lt;AB$3+7),"◎",IF(OR(AND(学校マスタ!$H33&lt;&gt;"",学校マスタ!$H33&gt;=AB$3,学校マスタ!$H33&lt;AB$3+7),AND(学校マスタ!$J33&lt;&gt;"",学校マスタ!$J33&gt;=AB$3,学校マスタ!$J33&lt;AB$3+7),AND(学校マスタ!$L33&lt;&gt;"",学校マスタ!$L33&gt;=AB$3,学校マスタ!$L33&lt;AB$3+7)),"◆",IF(AND(学校マスタ!$O33&lt;&gt;"",学校マスタ!$P33&lt;&gt;"",学校マスタ!$O33&lt;AB$3+7,学校マスタ!$P33&gt;=AB$3),"█",IF(AND(学校マスタ!$R33&lt;&gt;"",学校マスタ!$U33&lt;&gt;"",学校マスタ!$R33&lt;AB$3+7,学校マスタ!$U33&gt;=AB$3),"▒","")))))</f>
        <v/>
      </c>
    </row>
    <row r="36">
      <c r="A36" s="19">
        <f>IF(学校マスタ!$A34="","",学校マスタ!$A34)</f>
        <v/>
      </c>
      <c r="B36" s="19">
        <f>IF(学校マスタ!$A34="","",学校マスタ!$C34)</f>
        <v/>
      </c>
      <c r="C36" s="19">
        <f>IF(学校マスタ!$A34="","",学校マスタ!$X34)</f>
        <v/>
      </c>
      <c r="D36" s="25">
        <f>IF(学校マスタ!$A34="","",学校マスタ!$R34)</f>
        <v/>
      </c>
      <c r="E36" s="26">
        <f>IF(学校マスタ!$A34="","",IF(AND(学校マスタ!$U34&lt;&gt;"",学校マスタ!$U34&gt;=E$3,学校マスタ!$U34&lt;E$3+7),"◎",IF(OR(AND(学校マスタ!$H34&lt;&gt;"",学校マスタ!$H34&gt;=E$3,学校マスタ!$H34&lt;E$3+7),AND(学校マスタ!$J34&lt;&gt;"",学校マスタ!$J34&gt;=E$3,学校マスタ!$J34&lt;E$3+7),AND(学校マスタ!$L34&lt;&gt;"",学校マスタ!$L34&gt;=E$3,学校マスタ!$L34&lt;E$3+7)),"◆",IF(AND(学校マスタ!$O34&lt;&gt;"",学校マスタ!$P34&lt;&gt;"",学校マスタ!$O34&lt;E$3+7,学校マスタ!$P34&gt;=E$3),"█",IF(AND(学校マスタ!$R34&lt;&gt;"",学校マスタ!$U34&lt;&gt;"",学校マスタ!$R34&lt;E$3+7,学校マスタ!$U34&gt;=E$3),"▒","")))))</f>
        <v/>
      </c>
      <c r="F36" s="26">
        <f>IF(学校マスタ!$A34="","",IF(AND(学校マスタ!$U34&lt;&gt;"",学校マスタ!$U34&gt;=F$3,学校マスタ!$U34&lt;F$3+7),"◎",IF(OR(AND(学校マスタ!$H34&lt;&gt;"",学校マスタ!$H34&gt;=F$3,学校マスタ!$H34&lt;F$3+7),AND(学校マスタ!$J34&lt;&gt;"",学校マスタ!$J34&gt;=F$3,学校マスタ!$J34&lt;F$3+7),AND(学校マスタ!$L34&lt;&gt;"",学校マスタ!$L34&gt;=F$3,学校マスタ!$L34&lt;F$3+7)),"◆",IF(AND(学校マスタ!$O34&lt;&gt;"",学校マスタ!$P34&lt;&gt;"",学校マスタ!$O34&lt;F$3+7,学校マスタ!$P34&gt;=F$3),"█",IF(AND(学校マスタ!$R34&lt;&gt;"",学校マスタ!$U34&lt;&gt;"",学校マスタ!$R34&lt;F$3+7,学校マスタ!$U34&gt;=F$3),"▒","")))))</f>
        <v/>
      </c>
      <c r="G36" s="26">
        <f>IF(学校マスタ!$A34="","",IF(AND(学校マスタ!$U34&lt;&gt;"",学校マスタ!$U34&gt;=G$3,学校マスタ!$U34&lt;G$3+7),"◎",IF(OR(AND(学校マスタ!$H34&lt;&gt;"",学校マスタ!$H34&gt;=G$3,学校マスタ!$H34&lt;G$3+7),AND(学校マスタ!$J34&lt;&gt;"",学校マスタ!$J34&gt;=G$3,学校マスタ!$J34&lt;G$3+7),AND(学校マスタ!$L34&lt;&gt;"",学校マスタ!$L34&gt;=G$3,学校マスタ!$L34&lt;G$3+7)),"◆",IF(AND(学校マスタ!$O34&lt;&gt;"",学校マスタ!$P34&lt;&gt;"",学校マスタ!$O34&lt;G$3+7,学校マスタ!$P34&gt;=G$3),"█",IF(AND(学校マスタ!$R34&lt;&gt;"",学校マスタ!$U34&lt;&gt;"",学校マスタ!$R34&lt;G$3+7,学校マスタ!$U34&gt;=G$3),"▒","")))))</f>
        <v/>
      </c>
      <c r="H36" s="26">
        <f>IF(学校マスタ!$A34="","",IF(AND(学校マスタ!$U34&lt;&gt;"",学校マスタ!$U34&gt;=H$3,学校マスタ!$U34&lt;H$3+7),"◎",IF(OR(AND(学校マスタ!$H34&lt;&gt;"",学校マスタ!$H34&gt;=H$3,学校マスタ!$H34&lt;H$3+7),AND(学校マスタ!$J34&lt;&gt;"",学校マスタ!$J34&gt;=H$3,学校マスタ!$J34&lt;H$3+7),AND(学校マスタ!$L34&lt;&gt;"",学校マスタ!$L34&gt;=H$3,学校マスタ!$L34&lt;H$3+7)),"◆",IF(AND(学校マスタ!$O34&lt;&gt;"",学校マスタ!$P34&lt;&gt;"",学校マスタ!$O34&lt;H$3+7,学校マスタ!$P34&gt;=H$3),"█",IF(AND(学校マスタ!$R34&lt;&gt;"",学校マスタ!$U34&lt;&gt;"",学校マスタ!$R34&lt;H$3+7,学校マスタ!$U34&gt;=H$3),"▒","")))))</f>
        <v/>
      </c>
      <c r="I36" s="26">
        <f>IF(学校マスタ!$A34="","",IF(AND(学校マスタ!$U34&lt;&gt;"",学校マスタ!$U34&gt;=I$3,学校マスタ!$U34&lt;I$3+7),"◎",IF(OR(AND(学校マスタ!$H34&lt;&gt;"",学校マスタ!$H34&gt;=I$3,学校マスタ!$H34&lt;I$3+7),AND(学校マスタ!$J34&lt;&gt;"",学校マスタ!$J34&gt;=I$3,学校マスタ!$J34&lt;I$3+7),AND(学校マスタ!$L34&lt;&gt;"",学校マスタ!$L34&gt;=I$3,学校マスタ!$L34&lt;I$3+7)),"◆",IF(AND(学校マスタ!$O34&lt;&gt;"",学校マスタ!$P34&lt;&gt;"",学校マスタ!$O34&lt;I$3+7,学校マスタ!$P34&gt;=I$3),"█",IF(AND(学校マスタ!$R34&lt;&gt;"",学校マスタ!$U34&lt;&gt;"",学校マスタ!$R34&lt;I$3+7,学校マスタ!$U34&gt;=I$3),"▒","")))))</f>
        <v/>
      </c>
      <c r="J36" s="26">
        <f>IF(学校マスタ!$A34="","",IF(AND(学校マスタ!$U34&lt;&gt;"",学校マスタ!$U34&gt;=J$3,学校マスタ!$U34&lt;J$3+7),"◎",IF(OR(AND(学校マスタ!$H34&lt;&gt;"",学校マスタ!$H34&gt;=J$3,学校マスタ!$H34&lt;J$3+7),AND(学校マスタ!$J34&lt;&gt;"",学校マスタ!$J34&gt;=J$3,学校マスタ!$J34&lt;J$3+7),AND(学校マスタ!$L34&lt;&gt;"",学校マスタ!$L34&gt;=J$3,学校マスタ!$L34&lt;J$3+7)),"◆",IF(AND(学校マスタ!$O34&lt;&gt;"",学校マスタ!$P34&lt;&gt;"",学校マスタ!$O34&lt;J$3+7,学校マスタ!$P34&gt;=J$3),"█",IF(AND(学校マスタ!$R34&lt;&gt;"",学校マスタ!$U34&lt;&gt;"",学校マスタ!$R34&lt;J$3+7,学校マスタ!$U34&gt;=J$3),"▒","")))))</f>
        <v/>
      </c>
      <c r="K36" s="26">
        <f>IF(学校マスタ!$A34="","",IF(AND(学校マスタ!$U34&lt;&gt;"",学校マスタ!$U34&gt;=K$3,学校マスタ!$U34&lt;K$3+7),"◎",IF(OR(AND(学校マスタ!$H34&lt;&gt;"",学校マスタ!$H34&gt;=K$3,学校マスタ!$H34&lt;K$3+7),AND(学校マスタ!$J34&lt;&gt;"",学校マスタ!$J34&gt;=K$3,学校マスタ!$J34&lt;K$3+7),AND(学校マスタ!$L34&lt;&gt;"",学校マスタ!$L34&gt;=K$3,学校マスタ!$L34&lt;K$3+7)),"◆",IF(AND(学校マスタ!$O34&lt;&gt;"",学校マスタ!$P34&lt;&gt;"",学校マスタ!$O34&lt;K$3+7,学校マスタ!$P34&gt;=K$3),"█",IF(AND(学校マスタ!$R34&lt;&gt;"",学校マスタ!$U34&lt;&gt;"",学校マスタ!$R34&lt;K$3+7,学校マスタ!$U34&gt;=K$3),"▒","")))))</f>
        <v/>
      </c>
      <c r="L36" s="26">
        <f>IF(学校マスタ!$A34="","",IF(AND(学校マスタ!$U34&lt;&gt;"",学校マスタ!$U34&gt;=L$3,学校マスタ!$U34&lt;L$3+7),"◎",IF(OR(AND(学校マスタ!$H34&lt;&gt;"",学校マスタ!$H34&gt;=L$3,学校マスタ!$H34&lt;L$3+7),AND(学校マスタ!$J34&lt;&gt;"",学校マスタ!$J34&gt;=L$3,学校マスタ!$J34&lt;L$3+7),AND(学校マスタ!$L34&lt;&gt;"",学校マスタ!$L34&gt;=L$3,学校マスタ!$L34&lt;L$3+7)),"◆",IF(AND(学校マスタ!$O34&lt;&gt;"",学校マスタ!$P34&lt;&gt;"",学校マスタ!$O34&lt;L$3+7,学校マスタ!$P34&gt;=L$3),"█",IF(AND(学校マスタ!$R34&lt;&gt;"",学校マスタ!$U34&lt;&gt;"",学校マスタ!$R34&lt;L$3+7,学校マスタ!$U34&gt;=L$3),"▒","")))))</f>
        <v/>
      </c>
      <c r="M36" s="26">
        <f>IF(学校マスタ!$A34="","",IF(AND(学校マスタ!$U34&lt;&gt;"",学校マスタ!$U34&gt;=M$3,学校マスタ!$U34&lt;M$3+7),"◎",IF(OR(AND(学校マスタ!$H34&lt;&gt;"",学校マスタ!$H34&gt;=M$3,学校マスタ!$H34&lt;M$3+7),AND(学校マスタ!$J34&lt;&gt;"",学校マスタ!$J34&gt;=M$3,学校マスタ!$J34&lt;M$3+7),AND(学校マスタ!$L34&lt;&gt;"",学校マスタ!$L34&gt;=M$3,学校マスタ!$L34&lt;M$3+7)),"◆",IF(AND(学校マスタ!$O34&lt;&gt;"",学校マスタ!$P34&lt;&gt;"",学校マスタ!$O34&lt;M$3+7,学校マスタ!$P34&gt;=M$3),"█",IF(AND(学校マスタ!$R34&lt;&gt;"",学校マスタ!$U34&lt;&gt;"",学校マスタ!$R34&lt;M$3+7,学校マスタ!$U34&gt;=M$3),"▒","")))))</f>
        <v/>
      </c>
      <c r="N36" s="26">
        <f>IF(学校マスタ!$A34="","",IF(AND(学校マスタ!$U34&lt;&gt;"",学校マスタ!$U34&gt;=N$3,学校マスタ!$U34&lt;N$3+7),"◎",IF(OR(AND(学校マスタ!$H34&lt;&gt;"",学校マスタ!$H34&gt;=N$3,学校マスタ!$H34&lt;N$3+7),AND(学校マスタ!$J34&lt;&gt;"",学校マスタ!$J34&gt;=N$3,学校マスタ!$J34&lt;N$3+7),AND(学校マスタ!$L34&lt;&gt;"",学校マスタ!$L34&gt;=N$3,学校マスタ!$L34&lt;N$3+7)),"◆",IF(AND(学校マスタ!$O34&lt;&gt;"",学校マスタ!$P34&lt;&gt;"",学校マスタ!$O34&lt;N$3+7,学校マスタ!$P34&gt;=N$3),"█",IF(AND(学校マスタ!$R34&lt;&gt;"",学校マスタ!$U34&lt;&gt;"",学校マスタ!$R34&lt;N$3+7,学校マスタ!$U34&gt;=N$3),"▒","")))))</f>
        <v/>
      </c>
      <c r="O36" s="26">
        <f>IF(学校マスタ!$A34="","",IF(AND(学校マスタ!$U34&lt;&gt;"",学校マスタ!$U34&gt;=O$3,学校マスタ!$U34&lt;O$3+7),"◎",IF(OR(AND(学校マスタ!$H34&lt;&gt;"",学校マスタ!$H34&gt;=O$3,学校マスタ!$H34&lt;O$3+7),AND(学校マスタ!$J34&lt;&gt;"",学校マスタ!$J34&gt;=O$3,学校マスタ!$J34&lt;O$3+7),AND(学校マスタ!$L34&lt;&gt;"",学校マスタ!$L34&gt;=O$3,学校マスタ!$L34&lt;O$3+7)),"◆",IF(AND(学校マスタ!$O34&lt;&gt;"",学校マスタ!$P34&lt;&gt;"",学校マスタ!$O34&lt;O$3+7,学校マスタ!$P34&gt;=O$3),"█",IF(AND(学校マスタ!$R34&lt;&gt;"",学校マスタ!$U34&lt;&gt;"",学校マスタ!$R34&lt;O$3+7,学校マスタ!$U34&gt;=O$3),"▒","")))))</f>
        <v/>
      </c>
      <c r="P36" s="26">
        <f>IF(学校マスタ!$A34="","",IF(AND(学校マスタ!$U34&lt;&gt;"",学校マスタ!$U34&gt;=P$3,学校マスタ!$U34&lt;P$3+7),"◎",IF(OR(AND(学校マスタ!$H34&lt;&gt;"",学校マスタ!$H34&gt;=P$3,学校マスタ!$H34&lt;P$3+7),AND(学校マスタ!$J34&lt;&gt;"",学校マスタ!$J34&gt;=P$3,学校マスタ!$J34&lt;P$3+7),AND(学校マスタ!$L34&lt;&gt;"",学校マスタ!$L34&gt;=P$3,学校マスタ!$L34&lt;P$3+7)),"◆",IF(AND(学校マスタ!$O34&lt;&gt;"",学校マスタ!$P34&lt;&gt;"",学校マスタ!$O34&lt;P$3+7,学校マスタ!$P34&gt;=P$3),"█",IF(AND(学校マスタ!$R34&lt;&gt;"",学校マスタ!$U34&lt;&gt;"",学校マスタ!$R34&lt;P$3+7,学校マスタ!$U34&gt;=P$3),"▒","")))))</f>
        <v/>
      </c>
      <c r="Q36" s="26">
        <f>IF(学校マスタ!$A34="","",IF(AND(学校マスタ!$U34&lt;&gt;"",学校マスタ!$U34&gt;=Q$3,学校マスタ!$U34&lt;Q$3+7),"◎",IF(OR(AND(学校マスタ!$H34&lt;&gt;"",学校マスタ!$H34&gt;=Q$3,学校マスタ!$H34&lt;Q$3+7),AND(学校マスタ!$J34&lt;&gt;"",学校マスタ!$J34&gt;=Q$3,学校マスタ!$J34&lt;Q$3+7),AND(学校マスタ!$L34&lt;&gt;"",学校マスタ!$L34&gt;=Q$3,学校マスタ!$L34&lt;Q$3+7)),"◆",IF(AND(学校マスタ!$O34&lt;&gt;"",学校マスタ!$P34&lt;&gt;"",学校マスタ!$O34&lt;Q$3+7,学校マスタ!$P34&gt;=Q$3),"█",IF(AND(学校マスタ!$R34&lt;&gt;"",学校マスタ!$U34&lt;&gt;"",学校マスタ!$R34&lt;Q$3+7,学校マスタ!$U34&gt;=Q$3),"▒","")))))</f>
        <v/>
      </c>
      <c r="R36" s="26">
        <f>IF(学校マスタ!$A34="","",IF(AND(学校マスタ!$U34&lt;&gt;"",学校マスタ!$U34&gt;=R$3,学校マスタ!$U34&lt;R$3+7),"◎",IF(OR(AND(学校マスタ!$H34&lt;&gt;"",学校マスタ!$H34&gt;=R$3,学校マスタ!$H34&lt;R$3+7),AND(学校マスタ!$J34&lt;&gt;"",学校マスタ!$J34&gt;=R$3,学校マスタ!$J34&lt;R$3+7),AND(学校マスタ!$L34&lt;&gt;"",学校マスタ!$L34&gt;=R$3,学校マスタ!$L34&lt;R$3+7)),"◆",IF(AND(学校マスタ!$O34&lt;&gt;"",学校マスタ!$P34&lt;&gt;"",学校マスタ!$O34&lt;R$3+7,学校マスタ!$P34&gt;=R$3),"█",IF(AND(学校マスタ!$R34&lt;&gt;"",学校マスタ!$U34&lt;&gt;"",学校マスタ!$R34&lt;R$3+7,学校マスタ!$U34&gt;=R$3),"▒","")))))</f>
        <v/>
      </c>
      <c r="S36" s="26">
        <f>IF(学校マスタ!$A34="","",IF(AND(学校マスタ!$U34&lt;&gt;"",学校マスタ!$U34&gt;=S$3,学校マスタ!$U34&lt;S$3+7),"◎",IF(OR(AND(学校マスタ!$H34&lt;&gt;"",学校マスタ!$H34&gt;=S$3,学校マスタ!$H34&lt;S$3+7),AND(学校マスタ!$J34&lt;&gt;"",学校マスタ!$J34&gt;=S$3,学校マスタ!$J34&lt;S$3+7),AND(学校マスタ!$L34&lt;&gt;"",学校マスタ!$L34&gt;=S$3,学校マスタ!$L34&lt;S$3+7)),"◆",IF(AND(学校マスタ!$O34&lt;&gt;"",学校マスタ!$P34&lt;&gt;"",学校マスタ!$O34&lt;S$3+7,学校マスタ!$P34&gt;=S$3),"█",IF(AND(学校マスタ!$R34&lt;&gt;"",学校マスタ!$U34&lt;&gt;"",学校マスタ!$R34&lt;S$3+7,学校マスタ!$U34&gt;=S$3),"▒","")))))</f>
        <v/>
      </c>
      <c r="T36" s="26">
        <f>IF(学校マスタ!$A34="","",IF(AND(学校マスタ!$U34&lt;&gt;"",学校マスタ!$U34&gt;=T$3,学校マスタ!$U34&lt;T$3+7),"◎",IF(OR(AND(学校マスタ!$H34&lt;&gt;"",学校マスタ!$H34&gt;=T$3,学校マスタ!$H34&lt;T$3+7),AND(学校マスタ!$J34&lt;&gt;"",学校マスタ!$J34&gt;=T$3,学校マスタ!$J34&lt;T$3+7),AND(学校マスタ!$L34&lt;&gt;"",学校マスタ!$L34&gt;=T$3,学校マスタ!$L34&lt;T$3+7)),"◆",IF(AND(学校マスタ!$O34&lt;&gt;"",学校マスタ!$P34&lt;&gt;"",学校マスタ!$O34&lt;T$3+7,学校マスタ!$P34&gt;=T$3),"█",IF(AND(学校マスタ!$R34&lt;&gt;"",学校マスタ!$U34&lt;&gt;"",学校マスタ!$R34&lt;T$3+7,学校マスタ!$U34&gt;=T$3),"▒","")))))</f>
        <v/>
      </c>
      <c r="U36" s="26">
        <f>IF(学校マスタ!$A34="","",IF(AND(学校マスタ!$U34&lt;&gt;"",学校マスタ!$U34&gt;=U$3,学校マスタ!$U34&lt;U$3+7),"◎",IF(OR(AND(学校マスタ!$H34&lt;&gt;"",学校マスタ!$H34&gt;=U$3,学校マスタ!$H34&lt;U$3+7),AND(学校マスタ!$J34&lt;&gt;"",学校マスタ!$J34&gt;=U$3,学校マスタ!$J34&lt;U$3+7),AND(学校マスタ!$L34&lt;&gt;"",学校マスタ!$L34&gt;=U$3,学校マスタ!$L34&lt;U$3+7)),"◆",IF(AND(学校マスタ!$O34&lt;&gt;"",学校マスタ!$P34&lt;&gt;"",学校マスタ!$O34&lt;U$3+7,学校マスタ!$P34&gt;=U$3),"█",IF(AND(学校マスタ!$R34&lt;&gt;"",学校マスタ!$U34&lt;&gt;"",学校マスタ!$R34&lt;U$3+7,学校マスタ!$U34&gt;=U$3),"▒","")))))</f>
        <v/>
      </c>
      <c r="V36" s="26">
        <f>IF(学校マスタ!$A34="","",IF(AND(学校マスタ!$U34&lt;&gt;"",学校マスタ!$U34&gt;=V$3,学校マスタ!$U34&lt;V$3+7),"◎",IF(OR(AND(学校マスタ!$H34&lt;&gt;"",学校マスタ!$H34&gt;=V$3,学校マスタ!$H34&lt;V$3+7),AND(学校マスタ!$J34&lt;&gt;"",学校マスタ!$J34&gt;=V$3,学校マスタ!$J34&lt;V$3+7),AND(学校マスタ!$L34&lt;&gt;"",学校マスタ!$L34&gt;=V$3,学校マスタ!$L34&lt;V$3+7)),"◆",IF(AND(学校マスタ!$O34&lt;&gt;"",学校マスタ!$P34&lt;&gt;"",学校マスタ!$O34&lt;V$3+7,学校マスタ!$P34&gt;=V$3),"█",IF(AND(学校マスタ!$R34&lt;&gt;"",学校マスタ!$U34&lt;&gt;"",学校マスタ!$R34&lt;V$3+7,学校マスタ!$U34&gt;=V$3),"▒","")))))</f>
        <v/>
      </c>
      <c r="W36" s="26">
        <f>IF(学校マスタ!$A34="","",IF(AND(学校マスタ!$U34&lt;&gt;"",学校マスタ!$U34&gt;=W$3,学校マスタ!$U34&lt;W$3+7),"◎",IF(OR(AND(学校マスタ!$H34&lt;&gt;"",学校マスタ!$H34&gt;=W$3,学校マスタ!$H34&lt;W$3+7),AND(学校マスタ!$J34&lt;&gt;"",学校マスタ!$J34&gt;=W$3,学校マスタ!$J34&lt;W$3+7),AND(学校マスタ!$L34&lt;&gt;"",学校マスタ!$L34&gt;=W$3,学校マスタ!$L34&lt;W$3+7)),"◆",IF(AND(学校マスタ!$O34&lt;&gt;"",学校マスタ!$P34&lt;&gt;"",学校マスタ!$O34&lt;W$3+7,学校マスタ!$P34&gt;=W$3),"█",IF(AND(学校マスタ!$R34&lt;&gt;"",学校マスタ!$U34&lt;&gt;"",学校マスタ!$R34&lt;W$3+7,学校マスタ!$U34&gt;=W$3),"▒","")))))</f>
        <v/>
      </c>
      <c r="X36" s="26">
        <f>IF(学校マスタ!$A34="","",IF(AND(学校マスタ!$U34&lt;&gt;"",学校マスタ!$U34&gt;=X$3,学校マスタ!$U34&lt;X$3+7),"◎",IF(OR(AND(学校マスタ!$H34&lt;&gt;"",学校マスタ!$H34&gt;=X$3,学校マスタ!$H34&lt;X$3+7),AND(学校マスタ!$J34&lt;&gt;"",学校マスタ!$J34&gt;=X$3,学校マスタ!$J34&lt;X$3+7),AND(学校マスタ!$L34&lt;&gt;"",学校マスタ!$L34&gt;=X$3,学校マスタ!$L34&lt;X$3+7)),"◆",IF(AND(学校マスタ!$O34&lt;&gt;"",学校マスタ!$P34&lt;&gt;"",学校マスタ!$O34&lt;X$3+7,学校マスタ!$P34&gt;=X$3),"█",IF(AND(学校マスタ!$R34&lt;&gt;"",学校マスタ!$U34&lt;&gt;"",学校マスタ!$R34&lt;X$3+7,学校マスタ!$U34&gt;=X$3),"▒","")))))</f>
        <v/>
      </c>
      <c r="Y36" s="26">
        <f>IF(学校マスタ!$A34="","",IF(AND(学校マスタ!$U34&lt;&gt;"",学校マスタ!$U34&gt;=Y$3,学校マスタ!$U34&lt;Y$3+7),"◎",IF(OR(AND(学校マスタ!$H34&lt;&gt;"",学校マスタ!$H34&gt;=Y$3,学校マスタ!$H34&lt;Y$3+7),AND(学校マスタ!$J34&lt;&gt;"",学校マスタ!$J34&gt;=Y$3,学校マスタ!$J34&lt;Y$3+7),AND(学校マスタ!$L34&lt;&gt;"",学校マスタ!$L34&gt;=Y$3,学校マスタ!$L34&lt;Y$3+7)),"◆",IF(AND(学校マスタ!$O34&lt;&gt;"",学校マスタ!$P34&lt;&gt;"",学校マスタ!$O34&lt;Y$3+7,学校マスタ!$P34&gt;=Y$3),"█",IF(AND(学校マスタ!$R34&lt;&gt;"",学校マスタ!$U34&lt;&gt;"",学校マスタ!$R34&lt;Y$3+7,学校マスタ!$U34&gt;=Y$3),"▒","")))))</f>
        <v/>
      </c>
      <c r="Z36" s="26">
        <f>IF(学校マスタ!$A34="","",IF(AND(学校マスタ!$U34&lt;&gt;"",学校マスタ!$U34&gt;=Z$3,学校マスタ!$U34&lt;Z$3+7),"◎",IF(OR(AND(学校マスタ!$H34&lt;&gt;"",学校マスタ!$H34&gt;=Z$3,学校マスタ!$H34&lt;Z$3+7),AND(学校マスタ!$J34&lt;&gt;"",学校マスタ!$J34&gt;=Z$3,学校マスタ!$J34&lt;Z$3+7),AND(学校マスタ!$L34&lt;&gt;"",学校マスタ!$L34&gt;=Z$3,学校マスタ!$L34&lt;Z$3+7)),"◆",IF(AND(学校マスタ!$O34&lt;&gt;"",学校マスタ!$P34&lt;&gt;"",学校マスタ!$O34&lt;Z$3+7,学校マスタ!$P34&gt;=Z$3),"█",IF(AND(学校マスタ!$R34&lt;&gt;"",学校マスタ!$U34&lt;&gt;"",学校マスタ!$R34&lt;Z$3+7,学校マスタ!$U34&gt;=Z$3),"▒","")))))</f>
        <v/>
      </c>
      <c r="AA36" s="26">
        <f>IF(学校マスタ!$A34="","",IF(AND(学校マスタ!$U34&lt;&gt;"",学校マスタ!$U34&gt;=AA$3,学校マスタ!$U34&lt;AA$3+7),"◎",IF(OR(AND(学校マスタ!$H34&lt;&gt;"",学校マスタ!$H34&gt;=AA$3,学校マスタ!$H34&lt;AA$3+7),AND(学校マスタ!$J34&lt;&gt;"",学校マスタ!$J34&gt;=AA$3,学校マスタ!$J34&lt;AA$3+7),AND(学校マスタ!$L34&lt;&gt;"",学校マスタ!$L34&gt;=AA$3,学校マスタ!$L34&lt;AA$3+7)),"◆",IF(AND(学校マスタ!$O34&lt;&gt;"",学校マスタ!$P34&lt;&gt;"",学校マスタ!$O34&lt;AA$3+7,学校マスタ!$P34&gt;=AA$3),"█",IF(AND(学校マスタ!$R34&lt;&gt;"",学校マスタ!$U34&lt;&gt;"",学校マスタ!$R34&lt;AA$3+7,学校マスタ!$U34&gt;=AA$3),"▒","")))))</f>
        <v/>
      </c>
      <c r="AB36" s="26">
        <f>IF(学校マスタ!$A34="","",IF(AND(学校マスタ!$U34&lt;&gt;"",学校マスタ!$U34&gt;=AB$3,学校マスタ!$U34&lt;AB$3+7),"◎",IF(OR(AND(学校マスタ!$H34&lt;&gt;"",学校マスタ!$H34&gt;=AB$3,学校マスタ!$H34&lt;AB$3+7),AND(学校マスタ!$J34&lt;&gt;"",学校マスタ!$J34&gt;=AB$3,学校マスタ!$J34&lt;AB$3+7),AND(学校マスタ!$L34&lt;&gt;"",学校マスタ!$L34&gt;=AB$3,学校マスタ!$L34&lt;AB$3+7)),"◆",IF(AND(学校マスタ!$O34&lt;&gt;"",学校マスタ!$P34&lt;&gt;"",学校マスタ!$O34&lt;AB$3+7,学校マスタ!$P34&gt;=AB$3),"█",IF(AND(学校マスタ!$R34&lt;&gt;"",学校マスタ!$U34&lt;&gt;"",学校マスタ!$R34&lt;AB$3+7,学校マスタ!$U34&gt;=AB$3),"▒","")))))</f>
        <v/>
      </c>
    </row>
    <row r="37">
      <c r="A37" s="19">
        <f>IF(学校マスタ!$A35="","",学校マスタ!$A35)</f>
        <v/>
      </c>
      <c r="B37" s="19">
        <f>IF(学校マスタ!$A35="","",学校マスタ!$C35)</f>
        <v/>
      </c>
      <c r="C37" s="19">
        <f>IF(学校マスタ!$A35="","",学校マスタ!$X35)</f>
        <v/>
      </c>
      <c r="D37" s="25">
        <f>IF(学校マスタ!$A35="","",学校マスタ!$R35)</f>
        <v/>
      </c>
      <c r="E37" s="26">
        <f>IF(学校マスタ!$A35="","",IF(AND(学校マスタ!$U35&lt;&gt;"",学校マスタ!$U35&gt;=E$3,学校マスタ!$U35&lt;E$3+7),"◎",IF(OR(AND(学校マスタ!$H35&lt;&gt;"",学校マスタ!$H35&gt;=E$3,学校マスタ!$H35&lt;E$3+7),AND(学校マスタ!$J35&lt;&gt;"",学校マスタ!$J35&gt;=E$3,学校マスタ!$J35&lt;E$3+7),AND(学校マスタ!$L35&lt;&gt;"",学校マスタ!$L35&gt;=E$3,学校マスタ!$L35&lt;E$3+7)),"◆",IF(AND(学校マスタ!$O35&lt;&gt;"",学校マスタ!$P35&lt;&gt;"",学校マスタ!$O35&lt;E$3+7,学校マスタ!$P35&gt;=E$3),"█",IF(AND(学校マスタ!$R35&lt;&gt;"",学校マスタ!$U35&lt;&gt;"",学校マスタ!$R35&lt;E$3+7,学校マスタ!$U35&gt;=E$3),"▒","")))))</f>
        <v/>
      </c>
      <c r="F37" s="26">
        <f>IF(学校マスタ!$A35="","",IF(AND(学校マスタ!$U35&lt;&gt;"",学校マスタ!$U35&gt;=F$3,学校マスタ!$U35&lt;F$3+7),"◎",IF(OR(AND(学校マスタ!$H35&lt;&gt;"",学校マスタ!$H35&gt;=F$3,学校マスタ!$H35&lt;F$3+7),AND(学校マスタ!$J35&lt;&gt;"",学校マスタ!$J35&gt;=F$3,学校マスタ!$J35&lt;F$3+7),AND(学校マスタ!$L35&lt;&gt;"",学校マスタ!$L35&gt;=F$3,学校マスタ!$L35&lt;F$3+7)),"◆",IF(AND(学校マスタ!$O35&lt;&gt;"",学校マスタ!$P35&lt;&gt;"",学校マスタ!$O35&lt;F$3+7,学校マスタ!$P35&gt;=F$3),"█",IF(AND(学校マスタ!$R35&lt;&gt;"",学校マスタ!$U35&lt;&gt;"",学校マスタ!$R35&lt;F$3+7,学校マスタ!$U35&gt;=F$3),"▒","")))))</f>
        <v/>
      </c>
      <c r="G37" s="26">
        <f>IF(学校マスタ!$A35="","",IF(AND(学校マスタ!$U35&lt;&gt;"",学校マスタ!$U35&gt;=G$3,学校マスタ!$U35&lt;G$3+7),"◎",IF(OR(AND(学校マスタ!$H35&lt;&gt;"",学校マスタ!$H35&gt;=G$3,学校マスタ!$H35&lt;G$3+7),AND(学校マスタ!$J35&lt;&gt;"",学校マスタ!$J35&gt;=G$3,学校マスタ!$J35&lt;G$3+7),AND(学校マスタ!$L35&lt;&gt;"",学校マスタ!$L35&gt;=G$3,学校マスタ!$L35&lt;G$3+7)),"◆",IF(AND(学校マスタ!$O35&lt;&gt;"",学校マスタ!$P35&lt;&gt;"",学校マスタ!$O35&lt;G$3+7,学校マスタ!$P35&gt;=G$3),"█",IF(AND(学校マスタ!$R35&lt;&gt;"",学校マスタ!$U35&lt;&gt;"",学校マスタ!$R35&lt;G$3+7,学校マスタ!$U35&gt;=G$3),"▒","")))))</f>
        <v/>
      </c>
      <c r="H37" s="26">
        <f>IF(学校マスタ!$A35="","",IF(AND(学校マスタ!$U35&lt;&gt;"",学校マスタ!$U35&gt;=H$3,学校マスタ!$U35&lt;H$3+7),"◎",IF(OR(AND(学校マスタ!$H35&lt;&gt;"",学校マスタ!$H35&gt;=H$3,学校マスタ!$H35&lt;H$3+7),AND(学校マスタ!$J35&lt;&gt;"",学校マスタ!$J35&gt;=H$3,学校マスタ!$J35&lt;H$3+7),AND(学校マスタ!$L35&lt;&gt;"",学校マスタ!$L35&gt;=H$3,学校マスタ!$L35&lt;H$3+7)),"◆",IF(AND(学校マスタ!$O35&lt;&gt;"",学校マスタ!$P35&lt;&gt;"",学校マスタ!$O35&lt;H$3+7,学校マスタ!$P35&gt;=H$3),"█",IF(AND(学校マスタ!$R35&lt;&gt;"",学校マスタ!$U35&lt;&gt;"",学校マスタ!$R35&lt;H$3+7,学校マスタ!$U35&gt;=H$3),"▒","")))))</f>
        <v/>
      </c>
      <c r="I37" s="26">
        <f>IF(学校マスタ!$A35="","",IF(AND(学校マスタ!$U35&lt;&gt;"",学校マスタ!$U35&gt;=I$3,学校マスタ!$U35&lt;I$3+7),"◎",IF(OR(AND(学校マスタ!$H35&lt;&gt;"",学校マスタ!$H35&gt;=I$3,学校マスタ!$H35&lt;I$3+7),AND(学校マスタ!$J35&lt;&gt;"",学校マスタ!$J35&gt;=I$3,学校マスタ!$J35&lt;I$3+7),AND(学校マスタ!$L35&lt;&gt;"",学校マスタ!$L35&gt;=I$3,学校マスタ!$L35&lt;I$3+7)),"◆",IF(AND(学校マスタ!$O35&lt;&gt;"",学校マスタ!$P35&lt;&gt;"",学校マスタ!$O35&lt;I$3+7,学校マスタ!$P35&gt;=I$3),"█",IF(AND(学校マスタ!$R35&lt;&gt;"",学校マスタ!$U35&lt;&gt;"",学校マスタ!$R35&lt;I$3+7,学校マスタ!$U35&gt;=I$3),"▒","")))))</f>
        <v/>
      </c>
      <c r="J37" s="26">
        <f>IF(学校マスタ!$A35="","",IF(AND(学校マスタ!$U35&lt;&gt;"",学校マスタ!$U35&gt;=J$3,学校マスタ!$U35&lt;J$3+7),"◎",IF(OR(AND(学校マスタ!$H35&lt;&gt;"",学校マスタ!$H35&gt;=J$3,学校マスタ!$H35&lt;J$3+7),AND(学校マスタ!$J35&lt;&gt;"",学校マスタ!$J35&gt;=J$3,学校マスタ!$J35&lt;J$3+7),AND(学校マスタ!$L35&lt;&gt;"",学校マスタ!$L35&gt;=J$3,学校マスタ!$L35&lt;J$3+7)),"◆",IF(AND(学校マスタ!$O35&lt;&gt;"",学校マスタ!$P35&lt;&gt;"",学校マスタ!$O35&lt;J$3+7,学校マスタ!$P35&gt;=J$3),"█",IF(AND(学校マスタ!$R35&lt;&gt;"",学校マスタ!$U35&lt;&gt;"",学校マスタ!$R35&lt;J$3+7,学校マスタ!$U35&gt;=J$3),"▒","")))))</f>
        <v/>
      </c>
      <c r="K37" s="26">
        <f>IF(学校マスタ!$A35="","",IF(AND(学校マスタ!$U35&lt;&gt;"",学校マスタ!$U35&gt;=K$3,学校マスタ!$U35&lt;K$3+7),"◎",IF(OR(AND(学校マスタ!$H35&lt;&gt;"",学校マスタ!$H35&gt;=K$3,学校マスタ!$H35&lt;K$3+7),AND(学校マスタ!$J35&lt;&gt;"",学校マスタ!$J35&gt;=K$3,学校マスタ!$J35&lt;K$3+7),AND(学校マスタ!$L35&lt;&gt;"",学校マスタ!$L35&gt;=K$3,学校マスタ!$L35&lt;K$3+7)),"◆",IF(AND(学校マスタ!$O35&lt;&gt;"",学校マスタ!$P35&lt;&gt;"",学校マスタ!$O35&lt;K$3+7,学校マスタ!$P35&gt;=K$3),"█",IF(AND(学校マスタ!$R35&lt;&gt;"",学校マスタ!$U35&lt;&gt;"",学校マスタ!$R35&lt;K$3+7,学校マスタ!$U35&gt;=K$3),"▒","")))))</f>
        <v/>
      </c>
      <c r="L37" s="26">
        <f>IF(学校マスタ!$A35="","",IF(AND(学校マスタ!$U35&lt;&gt;"",学校マスタ!$U35&gt;=L$3,学校マスタ!$U35&lt;L$3+7),"◎",IF(OR(AND(学校マスタ!$H35&lt;&gt;"",学校マスタ!$H35&gt;=L$3,学校マスタ!$H35&lt;L$3+7),AND(学校マスタ!$J35&lt;&gt;"",学校マスタ!$J35&gt;=L$3,学校マスタ!$J35&lt;L$3+7),AND(学校マスタ!$L35&lt;&gt;"",学校マスタ!$L35&gt;=L$3,学校マスタ!$L35&lt;L$3+7)),"◆",IF(AND(学校マスタ!$O35&lt;&gt;"",学校マスタ!$P35&lt;&gt;"",学校マスタ!$O35&lt;L$3+7,学校マスタ!$P35&gt;=L$3),"█",IF(AND(学校マスタ!$R35&lt;&gt;"",学校マスタ!$U35&lt;&gt;"",学校マスタ!$R35&lt;L$3+7,学校マスタ!$U35&gt;=L$3),"▒","")))))</f>
        <v/>
      </c>
      <c r="M37" s="26">
        <f>IF(学校マスタ!$A35="","",IF(AND(学校マスタ!$U35&lt;&gt;"",学校マスタ!$U35&gt;=M$3,学校マスタ!$U35&lt;M$3+7),"◎",IF(OR(AND(学校マスタ!$H35&lt;&gt;"",学校マスタ!$H35&gt;=M$3,学校マスタ!$H35&lt;M$3+7),AND(学校マスタ!$J35&lt;&gt;"",学校マスタ!$J35&gt;=M$3,学校マスタ!$J35&lt;M$3+7),AND(学校マスタ!$L35&lt;&gt;"",学校マスタ!$L35&gt;=M$3,学校マスタ!$L35&lt;M$3+7)),"◆",IF(AND(学校マスタ!$O35&lt;&gt;"",学校マスタ!$P35&lt;&gt;"",学校マスタ!$O35&lt;M$3+7,学校マスタ!$P35&gt;=M$3),"█",IF(AND(学校マスタ!$R35&lt;&gt;"",学校マスタ!$U35&lt;&gt;"",学校マスタ!$R35&lt;M$3+7,学校マスタ!$U35&gt;=M$3),"▒","")))))</f>
        <v/>
      </c>
      <c r="N37" s="26">
        <f>IF(学校マスタ!$A35="","",IF(AND(学校マスタ!$U35&lt;&gt;"",学校マスタ!$U35&gt;=N$3,学校マスタ!$U35&lt;N$3+7),"◎",IF(OR(AND(学校マスタ!$H35&lt;&gt;"",学校マスタ!$H35&gt;=N$3,学校マスタ!$H35&lt;N$3+7),AND(学校マスタ!$J35&lt;&gt;"",学校マスタ!$J35&gt;=N$3,学校マスタ!$J35&lt;N$3+7),AND(学校マスタ!$L35&lt;&gt;"",学校マスタ!$L35&gt;=N$3,学校マスタ!$L35&lt;N$3+7)),"◆",IF(AND(学校マスタ!$O35&lt;&gt;"",学校マスタ!$P35&lt;&gt;"",学校マスタ!$O35&lt;N$3+7,学校マスタ!$P35&gt;=N$3),"█",IF(AND(学校マスタ!$R35&lt;&gt;"",学校マスタ!$U35&lt;&gt;"",学校マスタ!$R35&lt;N$3+7,学校マスタ!$U35&gt;=N$3),"▒","")))))</f>
        <v/>
      </c>
      <c r="O37" s="26">
        <f>IF(学校マスタ!$A35="","",IF(AND(学校マスタ!$U35&lt;&gt;"",学校マスタ!$U35&gt;=O$3,学校マスタ!$U35&lt;O$3+7),"◎",IF(OR(AND(学校マスタ!$H35&lt;&gt;"",学校マスタ!$H35&gt;=O$3,学校マスタ!$H35&lt;O$3+7),AND(学校マスタ!$J35&lt;&gt;"",学校マスタ!$J35&gt;=O$3,学校マスタ!$J35&lt;O$3+7),AND(学校マスタ!$L35&lt;&gt;"",学校マスタ!$L35&gt;=O$3,学校マスタ!$L35&lt;O$3+7)),"◆",IF(AND(学校マスタ!$O35&lt;&gt;"",学校マスタ!$P35&lt;&gt;"",学校マスタ!$O35&lt;O$3+7,学校マスタ!$P35&gt;=O$3),"█",IF(AND(学校マスタ!$R35&lt;&gt;"",学校マスタ!$U35&lt;&gt;"",学校マスタ!$R35&lt;O$3+7,学校マスタ!$U35&gt;=O$3),"▒","")))))</f>
        <v/>
      </c>
      <c r="P37" s="26">
        <f>IF(学校マスタ!$A35="","",IF(AND(学校マスタ!$U35&lt;&gt;"",学校マスタ!$U35&gt;=P$3,学校マスタ!$U35&lt;P$3+7),"◎",IF(OR(AND(学校マスタ!$H35&lt;&gt;"",学校マスタ!$H35&gt;=P$3,学校マスタ!$H35&lt;P$3+7),AND(学校マスタ!$J35&lt;&gt;"",学校マスタ!$J35&gt;=P$3,学校マスタ!$J35&lt;P$3+7),AND(学校マスタ!$L35&lt;&gt;"",学校マスタ!$L35&gt;=P$3,学校マスタ!$L35&lt;P$3+7)),"◆",IF(AND(学校マスタ!$O35&lt;&gt;"",学校マスタ!$P35&lt;&gt;"",学校マスタ!$O35&lt;P$3+7,学校マスタ!$P35&gt;=P$3),"█",IF(AND(学校マスタ!$R35&lt;&gt;"",学校マスタ!$U35&lt;&gt;"",学校マスタ!$R35&lt;P$3+7,学校マスタ!$U35&gt;=P$3),"▒","")))))</f>
        <v/>
      </c>
      <c r="Q37" s="26">
        <f>IF(学校マスタ!$A35="","",IF(AND(学校マスタ!$U35&lt;&gt;"",学校マスタ!$U35&gt;=Q$3,学校マスタ!$U35&lt;Q$3+7),"◎",IF(OR(AND(学校マスタ!$H35&lt;&gt;"",学校マスタ!$H35&gt;=Q$3,学校マスタ!$H35&lt;Q$3+7),AND(学校マスタ!$J35&lt;&gt;"",学校マスタ!$J35&gt;=Q$3,学校マスタ!$J35&lt;Q$3+7),AND(学校マスタ!$L35&lt;&gt;"",学校マスタ!$L35&gt;=Q$3,学校マスタ!$L35&lt;Q$3+7)),"◆",IF(AND(学校マスタ!$O35&lt;&gt;"",学校マスタ!$P35&lt;&gt;"",学校マスタ!$O35&lt;Q$3+7,学校マスタ!$P35&gt;=Q$3),"█",IF(AND(学校マスタ!$R35&lt;&gt;"",学校マスタ!$U35&lt;&gt;"",学校マスタ!$R35&lt;Q$3+7,学校マスタ!$U35&gt;=Q$3),"▒","")))))</f>
        <v/>
      </c>
      <c r="R37" s="26">
        <f>IF(学校マスタ!$A35="","",IF(AND(学校マスタ!$U35&lt;&gt;"",学校マスタ!$U35&gt;=R$3,学校マスタ!$U35&lt;R$3+7),"◎",IF(OR(AND(学校マスタ!$H35&lt;&gt;"",学校マスタ!$H35&gt;=R$3,学校マスタ!$H35&lt;R$3+7),AND(学校マスタ!$J35&lt;&gt;"",学校マスタ!$J35&gt;=R$3,学校マスタ!$J35&lt;R$3+7),AND(学校マスタ!$L35&lt;&gt;"",学校マスタ!$L35&gt;=R$3,学校マスタ!$L35&lt;R$3+7)),"◆",IF(AND(学校マスタ!$O35&lt;&gt;"",学校マスタ!$P35&lt;&gt;"",学校マスタ!$O35&lt;R$3+7,学校マスタ!$P35&gt;=R$3),"█",IF(AND(学校マスタ!$R35&lt;&gt;"",学校マスタ!$U35&lt;&gt;"",学校マスタ!$R35&lt;R$3+7,学校マスタ!$U35&gt;=R$3),"▒","")))))</f>
        <v/>
      </c>
      <c r="S37" s="26">
        <f>IF(学校マスタ!$A35="","",IF(AND(学校マスタ!$U35&lt;&gt;"",学校マスタ!$U35&gt;=S$3,学校マスタ!$U35&lt;S$3+7),"◎",IF(OR(AND(学校マスタ!$H35&lt;&gt;"",学校マスタ!$H35&gt;=S$3,学校マスタ!$H35&lt;S$3+7),AND(学校マスタ!$J35&lt;&gt;"",学校マスタ!$J35&gt;=S$3,学校マスタ!$J35&lt;S$3+7),AND(学校マスタ!$L35&lt;&gt;"",学校マスタ!$L35&gt;=S$3,学校マスタ!$L35&lt;S$3+7)),"◆",IF(AND(学校マスタ!$O35&lt;&gt;"",学校マスタ!$P35&lt;&gt;"",学校マスタ!$O35&lt;S$3+7,学校マスタ!$P35&gt;=S$3),"█",IF(AND(学校マスタ!$R35&lt;&gt;"",学校マスタ!$U35&lt;&gt;"",学校マスタ!$R35&lt;S$3+7,学校マスタ!$U35&gt;=S$3),"▒","")))))</f>
        <v/>
      </c>
      <c r="T37" s="26">
        <f>IF(学校マスタ!$A35="","",IF(AND(学校マスタ!$U35&lt;&gt;"",学校マスタ!$U35&gt;=T$3,学校マスタ!$U35&lt;T$3+7),"◎",IF(OR(AND(学校マスタ!$H35&lt;&gt;"",学校マスタ!$H35&gt;=T$3,学校マスタ!$H35&lt;T$3+7),AND(学校マスタ!$J35&lt;&gt;"",学校マスタ!$J35&gt;=T$3,学校マスタ!$J35&lt;T$3+7),AND(学校マスタ!$L35&lt;&gt;"",学校マスタ!$L35&gt;=T$3,学校マスタ!$L35&lt;T$3+7)),"◆",IF(AND(学校マスタ!$O35&lt;&gt;"",学校マスタ!$P35&lt;&gt;"",学校マスタ!$O35&lt;T$3+7,学校マスタ!$P35&gt;=T$3),"█",IF(AND(学校マスタ!$R35&lt;&gt;"",学校マスタ!$U35&lt;&gt;"",学校マスタ!$R35&lt;T$3+7,学校マスタ!$U35&gt;=T$3),"▒","")))))</f>
        <v/>
      </c>
      <c r="U37" s="26">
        <f>IF(学校マスタ!$A35="","",IF(AND(学校マスタ!$U35&lt;&gt;"",学校マスタ!$U35&gt;=U$3,学校マスタ!$U35&lt;U$3+7),"◎",IF(OR(AND(学校マスタ!$H35&lt;&gt;"",学校マスタ!$H35&gt;=U$3,学校マスタ!$H35&lt;U$3+7),AND(学校マスタ!$J35&lt;&gt;"",学校マスタ!$J35&gt;=U$3,学校マスタ!$J35&lt;U$3+7),AND(学校マスタ!$L35&lt;&gt;"",学校マスタ!$L35&gt;=U$3,学校マスタ!$L35&lt;U$3+7)),"◆",IF(AND(学校マスタ!$O35&lt;&gt;"",学校マスタ!$P35&lt;&gt;"",学校マスタ!$O35&lt;U$3+7,学校マスタ!$P35&gt;=U$3),"█",IF(AND(学校マスタ!$R35&lt;&gt;"",学校マスタ!$U35&lt;&gt;"",学校マスタ!$R35&lt;U$3+7,学校マスタ!$U35&gt;=U$3),"▒","")))))</f>
        <v/>
      </c>
      <c r="V37" s="26">
        <f>IF(学校マスタ!$A35="","",IF(AND(学校マスタ!$U35&lt;&gt;"",学校マスタ!$U35&gt;=V$3,学校マスタ!$U35&lt;V$3+7),"◎",IF(OR(AND(学校マスタ!$H35&lt;&gt;"",学校マスタ!$H35&gt;=V$3,学校マスタ!$H35&lt;V$3+7),AND(学校マスタ!$J35&lt;&gt;"",学校マスタ!$J35&gt;=V$3,学校マスタ!$J35&lt;V$3+7),AND(学校マスタ!$L35&lt;&gt;"",学校マスタ!$L35&gt;=V$3,学校マスタ!$L35&lt;V$3+7)),"◆",IF(AND(学校マスタ!$O35&lt;&gt;"",学校マスタ!$P35&lt;&gt;"",学校マスタ!$O35&lt;V$3+7,学校マスタ!$P35&gt;=V$3),"█",IF(AND(学校マスタ!$R35&lt;&gt;"",学校マスタ!$U35&lt;&gt;"",学校マスタ!$R35&lt;V$3+7,学校マスタ!$U35&gt;=V$3),"▒","")))))</f>
        <v/>
      </c>
      <c r="W37" s="26">
        <f>IF(学校マスタ!$A35="","",IF(AND(学校マスタ!$U35&lt;&gt;"",学校マスタ!$U35&gt;=W$3,学校マスタ!$U35&lt;W$3+7),"◎",IF(OR(AND(学校マスタ!$H35&lt;&gt;"",学校マスタ!$H35&gt;=W$3,学校マスタ!$H35&lt;W$3+7),AND(学校マスタ!$J35&lt;&gt;"",学校マスタ!$J35&gt;=W$3,学校マスタ!$J35&lt;W$3+7),AND(学校マスタ!$L35&lt;&gt;"",学校マスタ!$L35&gt;=W$3,学校マスタ!$L35&lt;W$3+7)),"◆",IF(AND(学校マスタ!$O35&lt;&gt;"",学校マスタ!$P35&lt;&gt;"",学校マスタ!$O35&lt;W$3+7,学校マスタ!$P35&gt;=W$3),"█",IF(AND(学校マスタ!$R35&lt;&gt;"",学校マスタ!$U35&lt;&gt;"",学校マスタ!$R35&lt;W$3+7,学校マスタ!$U35&gt;=W$3),"▒","")))))</f>
        <v/>
      </c>
      <c r="X37" s="26">
        <f>IF(学校マスタ!$A35="","",IF(AND(学校マスタ!$U35&lt;&gt;"",学校マスタ!$U35&gt;=X$3,学校マスタ!$U35&lt;X$3+7),"◎",IF(OR(AND(学校マスタ!$H35&lt;&gt;"",学校マスタ!$H35&gt;=X$3,学校マスタ!$H35&lt;X$3+7),AND(学校マスタ!$J35&lt;&gt;"",学校マスタ!$J35&gt;=X$3,学校マスタ!$J35&lt;X$3+7),AND(学校マスタ!$L35&lt;&gt;"",学校マスタ!$L35&gt;=X$3,学校マスタ!$L35&lt;X$3+7)),"◆",IF(AND(学校マスタ!$O35&lt;&gt;"",学校マスタ!$P35&lt;&gt;"",学校マスタ!$O35&lt;X$3+7,学校マスタ!$P35&gt;=X$3),"█",IF(AND(学校マスタ!$R35&lt;&gt;"",学校マスタ!$U35&lt;&gt;"",学校マスタ!$R35&lt;X$3+7,学校マスタ!$U35&gt;=X$3),"▒","")))))</f>
        <v/>
      </c>
      <c r="Y37" s="26">
        <f>IF(学校マスタ!$A35="","",IF(AND(学校マスタ!$U35&lt;&gt;"",学校マスタ!$U35&gt;=Y$3,学校マスタ!$U35&lt;Y$3+7),"◎",IF(OR(AND(学校マスタ!$H35&lt;&gt;"",学校マスタ!$H35&gt;=Y$3,学校マスタ!$H35&lt;Y$3+7),AND(学校マスタ!$J35&lt;&gt;"",学校マスタ!$J35&gt;=Y$3,学校マスタ!$J35&lt;Y$3+7),AND(学校マスタ!$L35&lt;&gt;"",学校マスタ!$L35&gt;=Y$3,学校マスタ!$L35&lt;Y$3+7)),"◆",IF(AND(学校マスタ!$O35&lt;&gt;"",学校マスタ!$P35&lt;&gt;"",学校マスタ!$O35&lt;Y$3+7,学校マスタ!$P35&gt;=Y$3),"█",IF(AND(学校マスタ!$R35&lt;&gt;"",学校マスタ!$U35&lt;&gt;"",学校マスタ!$R35&lt;Y$3+7,学校マスタ!$U35&gt;=Y$3),"▒","")))))</f>
        <v/>
      </c>
      <c r="Z37" s="26">
        <f>IF(学校マスタ!$A35="","",IF(AND(学校マスタ!$U35&lt;&gt;"",学校マスタ!$U35&gt;=Z$3,学校マスタ!$U35&lt;Z$3+7),"◎",IF(OR(AND(学校マスタ!$H35&lt;&gt;"",学校マスタ!$H35&gt;=Z$3,学校マスタ!$H35&lt;Z$3+7),AND(学校マスタ!$J35&lt;&gt;"",学校マスタ!$J35&gt;=Z$3,学校マスタ!$J35&lt;Z$3+7),AND(学校マスタ!$L35&lt;&gt;"",学校マスタ!$L35&gt;=Z$3,学校マスタ!$L35&lt;Z$3+7)),"◆",IF(AND(学校マスタ!$O35&lt;&gt;"",学校マスタ!$P35&lt;&gt;"",学校マスタ!$O35&lt;Z$3+7,学校マスタ!$P35&gt;=Z$3),"█",IF(AND(学校マスタ!$R35&lt;&gt;"",学校マスタ!$U35&lt;&gt;"",学校マスタ!$R35&lt;Z$3+7,学校マスタ!$U35&gt;=Z$3),"▒","")))))</f>
        <v/>
      </c>
      <c r="AA37" s="26">
        <f>IF(学校マスタ!$A35="","",IF(AND(学校マスタ!$U35&lt;&gt;"",学校マスタ!$U35&gt;=AA$3,学校マスタ!$U35&lt;AA$3+7),"◎",IF(OR(AND(学校マスタ!$H35&lt;&gt;"",学校マスタ!$H35&gt;=AA$3,学校マスタ!$H35&lt;AA$3+7),AND(学校マスタ!$J35&lt;&gt;"",学校マスタ!$J35&gt;=AA$3,学校マスタ!$J35&lt;AA$3+7),AND(学校マスタ!$L35&lt;&gt;"",学校マスタ!$L35&gt;=AA$3,学校マスタ!$L35&lt;AA$3+7)),"◆",IF(AND(学校マスタ!$O35&lt;&gt;"",学校マスタ!$P35&lt;&gt;"",学校マスタ!$O35&lt;AA$3+7,学校マスタ!$P35&gt;=AA$3),"█",IF(AND(学校マスタ!$R35&lt;&gt;"",学校マスタ!$U35&lt;&gt;"",学校マスタ!$R35&lt;AA$3+7,学校マスタ!$U35&gt;=AA$3),"▒","")))))</f>
        <v/>
      </c>
      <c r="AB37" s="26">
        <f>IF(学校マスタ!$A35="","",IF(AND(学校マスタ!$U35&lt;&gt;"",学校マスタ!$U35&gt;=AB$3,学校マスタ!$U35&lt;AB$3+7),"◎",IF(OR(AND(学校マスタ!$H35&lt;&gt;"",学校マスタ!$H35&gt;=AB$3,学校マスタ!$H35&lt;AB$3+7),AND(学校マスタ!$J35&lt;&gt;"",学校マスタ!$J35&gt;=AB$3,学校マスタ!$J35&lt;AB$3+7),AND(学校マスタ!$L35&lt;&gt;"",学校マスタ!$L35&gt;=AB$3,学校マスタ!$L35&lt;AB$3+7)),"◆",IF(AND(学校マスタ!$O35&lt;&gt;"",学校マスタ!$P35&lt;&gt;"",学校マスタ!$O35&lt;AB$3+7,学校マスタ!$P35&gt;=AB$3),"█",IF(AND(学校マスタ!$R35&lt;&gt;"",学校マスタ!$U35&lt;&gt;"",学校マスタ!$R35&lt;AB$3+7,学校マスタ!$U35&gt;=AB$3),"▒","")))))</f>
        <v/>
      </c>
    </row>
    <row r="38">
      <c r="A38" s="19">
        <f>IF(学校マスタ!$A36="","",学校マスタ!$A36)</f>
        <v/>
      </c>
      <c r="B38" s="19">
        <f>IF(学校マスタ!$A36="","",学校マスタ!$C36)</f>
        <v/>
      </c>
      <c r="C38" s="19">
        <f>IF(学校マスタ!$A36="","",学校マスタ!$X36)</f>
        <v/>
      </c>
      <c r="D38" s="25">
        <f>IF(学校マスタ!$A36="","",学校マスタ!$R36)</f>
        <v/>
      </c>
      <c r="E38" s="26">
        <f>IF(学校マスタ!$A36="","",IF(AND(学校マスタ!$U36&lt;&gt;"",学校マスタ!$U36&gt;=E$3,学校マスタ!$U36&lt;E$3+7),"◎",IF(OR(AND(学校マスタ!$H36&lt;&gt;"",学校マスタ!$H36&gt;=E$3,学校マスタ!$H36&lt;E$3+7),AND(学校マスタ!$J36&lt;&gt;"",学校マスタ!$J36&gt;=E$3,学校マスタ!$J36&lt;E$3+7),AND(学校マスタ!$L36&lt;&gt;"",学校マスタ!$L36&gt;=E$3,学校マスタ!$L36&lt;E$3+7)),"◆",IF(AND(学校マスタ!$O36&lt;&gt;"",学校マスタ!$P36&lt;&gt;"",学校マスタ!$O36&lt;E$3+7,学校マスタ!$P36&gt;=E$3),"█",IF(AND(学校マスタ!$R36&lt;&gt;"",学校マスタ!$U36&lt;&gt;"",学校マスタ!$R36&lt;E$3+7,学校マスタ!$U36&gt;=E$3),"▒","")))))</f>
        <v/>
      </c>
      <c r="F38" s="26">
        <f>IF(学校マスタ!$A36="","",IF(AND(学校マスタ!$U36&lt;&gt;"",学校マスタ!$U36&gt;=F$3,学校マスタ!$U36&lt;F$3+7),"◎",IF(OR(AND(学校マスタ!$H36&lt;&gt;"",学校マスタ!$H36&gt;=F$3,学校マスタ!$H36&lt;F$3+7),AND(学校マスタ!$J36&lt;&gt;"",学校マスタ!$J36&gt;=F$3,学校マスタ!$J36&lt;F$3+7),AND(学校マスタ!$L36&lt;&gt;"",学校マスタ!$L36&gt;=F$3,学校マスタ!$L36&lt;F$3+7)),"◆",IF(AND(学校マスタ!$O36&lt;&gt;"",学校マスタ!$P36&lt;&gt;"",学校マスタ!$O36&lt;F$3+7,学校マスタ!$P36&gt;=F$3),"█",IF(AND(学校マスタ!$R36&lt;&gt;"",学校マスタ!$U36&lt;&gt;"",学校マスタ!$R36&lt;F$3+7,学校マスタ!$U36&gt;=F$3),"▒","")))))</f>
        <v/>
      </c>
      <c r="G38" s="26">
        <f>IF(学校マスタ!$A36="","",IF(AND(学校マスタ!$U36&lt;&gt;"",学校マスタ!$U36&gt;=G$3,学校マスタ!$U36&lt;G$3+7),"◎",IF(OR(AND(学校マスタ!$H36&lt;&gt;"",学校マスタ!$H36&gt;=G$3,学校マスタ!$H36&lt;G$3+7),AND(学校マスタ!$J36&lt;&gt;"",学校マスタ!$J36&gt;=G$3,学校マスタ!$J36&lt;G$3+7),AND(学校マスタ!$L36&lt;&gt;"",学校マスタ!$L36&gt;=G$3,学校マスタ!$L36&lt;G$3+7)),"◆",IF(AND(学校マスタ!$O36&lt;&gt;"",学校マスタ!$P36&lt;&gt;"",学校マスタ!$O36&lt;G$3+7,学校マスタ!$P36&gt;=G$3),"█",IF(AND(学校マスタ!$R36&lt;&gt;"",学校マスタ!$U36&lt;&gt;"",学校マスタ!$R36&lt;G$3+7,学校マスタ!$U36&gt;=G$3),"▒","")))))</f>
        <v/>
      </c>
      <c r="H38" s="26">
        <f>IF(学校マスタ!$A36="","",IF(AND(学校マスタ!$U36&lt;&gt;"",学校マスタ!$U36&gt;=H$3,学校マスタ!$U36&lt;H$3+7),"◎",IF(OR(AND(学校マスタ!$H36&lt;&gt;"",学校マスタ!$H36&gt;=H$3,学校マスタ!$H36&lt;H$3+7),AND(学校マスタ!$J36&lt;&gt;"",学校マスタ!$J36&gt;=H$3,学校マスタ!$J36&lt;H$3+7),AND(学校マスタ!$L36&lt;&gt;"",学校マスタ!$L36&gt;=H$3,学校マスタ!$L36&lt;H$3+7)),"◆",IF(AND(学校マスタ!$O36&lt;&gt;"",学校マスタ!$P36&lt;&gt;"",学校マスタ!$O36&lt;H$3+7,学校マスタ!$P36&gt;=H$3),"█",IF(AND(学校マスタ!$R36&lt;&gt;"",学校マスタ!$U36&lt;&gt;"",学校マスタ!$R36&lt;H$3+7,学校マスタ!$U36&gt;=H$3),"▒","")))))</f>
        <v/>
      </c>
      <c r="I38" s="26">
        <f>IF(学校マスタ!$A36="","",IF(AND(学校マスタ!$U36&lt;&gt;"",学校マスタ!$U36&gt;=I$3,学校マスタ!$U36&lt;I$3+7),"◎",IF(OR(AND(学校マスタ!$H36&lt;&gt;"",学校マスタ!$H36&gt;=I$3,学校マスタ!$H36&lt;I$3+7),AND(学校マスタ!$J36&lt;&gt;"",学校マスタ!$J36&gt;=I$3,学校マスタ!$J36&lt;I$3+7),AND(学校マスタ!$L36&lt;&gt;"",学校マスタ!$L36&gt;=I$3,学校マスタ!$L36&lt;I$3+7)),"◆",IF(AND(学校マスタ!$O36&lt;&gt;"",学校マスタ!$P36&lt;&gt;"",学校マスタ!$O36&lt;I$3+7,学校マスタ!$P36&gt;=I$3),"█",IF(AND(学校マスタ!$R36&lt;&gt;"",学校マスタ!$U36&lt;&gt;"",学校マスタ!$R36&lt;I$3+7,学校マスタ!$U36&gt;=I$3),"▒","")))))</f>
        <v/>
      </c>
      <c r="J38" s="26">
        <f>IF(学校マスタ!$A36="","",IF(AND(学校マスタ!$U36&lt;&gt;"",学校マスタ!$U36&gt;=J$3,学校マスタ!$U36&lt;J$3+7),"◎",IF(OR(AND(学校マスタ!$H36&lt;&gt;"",学校マスタ!$H36&gt;=J$3,学校マスタ!$H36&lt;J$3+7),AND(学校マスタ!$J36&lt;&gt;"",学校マスタ!$J36&gt;=J$3,学校マスタ!$J36&lt;J$3+7),AND(学校マスタ!$L36&lt;&gt;"",学校マスタ!$L36&gt;=J$3,学校マスタ!$L36&lt;J$3+7)),"◆",IF(AND(学校マスタ!$O36&lt;&gt;"",学校マスタ!$P36&lt;&gt;"",学校マスタ!$O36&lt;J$3+7,学校マスタ!$P36&gt;=J$3),"█",IF(AND(学校マスタ!$R36&lt;&gt;"",学校マスタ!$U36&lt;&gt;"",学校マスタ!$R36&lt;J$3+7,学校マスタ!$U36&gt;=J$3),"▒","")))))</f>
        <v/>
      </c>
      <c r="K38" s="26">
        <f>IF(学校マスタ!$A36="","",IF(AND(学校マスタ!$U36&lt;&gt;"",学校マスタ!$U36&gt;=K$3,学校マスタ!$U36&lt;K$3+7),"◎",IF(OR(AND(学校マスタ!$H36&lt;&gt;"",学校マスタ!$H36&gt;=K$3,学校マスタ!$H36&lt;K$3+7),AND(学校マスタ!$J36&lt;&gt;"",学校マスタ!$J36&gt;=K$3,学校マスタ!$J36&lt;K$3+7),AND(学校マスタ!$L36&lt;&gt;"",学校マスタ!$L36&gt;=K$3,学校マスタ!$L36&lt;K$3+7)),"◆",IF(AND(学校マスタ!$O36&lt;&gt;"",学校マスタ!$P36&lt;&gt;"",学校マスタ!$O36&lt;K$3+7,学校マスタ!$P36&gt;=K$3),"█",IF(AND(学校マスタ!$R36&lt;&gt;"",学校マスタ!$U36&lt;&gt;"",学校マスタ!$R36&lt;K$3+7,学校マスタ!$U36&gt;=K$3),"▒","")))))</f>
        <v/>
      </c>
      <c r="L38" s="26">
        <f>IF(学校マスタ!$A36="","",IF(AND(学校マスタ!$U36&lt;&gt;"",学校マスタ!$U36&gt;=L$3,学校マスタ!$U36&lt;L$3+7),"◎",IF(OR(AND(学校マスタ!$H36&lt;&gt;"",学校マスタ!$H36&gt;=L$3,学校マスタ!$H36&lt;L$3+7),AND(学校マスタ!$J36&lt;&gt;"",学校マスタ!$J36&gt;=L$3,学校マスタ!$J36&lt;L$3+7),AND(学校マスタ!$L36&lt;&gt;"",学校マスタ!$L36&gt;=L$3,学校マスタ!$L36&lt;L$3+7)),"◆",IF(AND(学校マスタ!$O36&lt;&gt;"",学校マスタ!$P36&lt;&gt;"",学校マスタ!$O36&lt;L$3+7,学校マスタ!$P36&gt;=L$3),"█",IF(AND(学校マスタ!$R36&lt;&gt;"",学校マスタ!$U36&lt;&gt;"",学校マスタ!$R36&lt;L$3+7,学校マスタ!$U36&gt;=L$3),"▒","")))))</f>
        <v/>
      </c>
      <c r="M38" s="26">
        <f>IF(学校マスタ!$A36="","",IF(AND(学校マスタ!$U36&lt;&gt;"",学校マスタ!$U36&gt;=M$3,学校マスタ!$U36&lt;M$3+7),"◎",IF(OR(AND(学校マスタ!$H36&lt;&gt;"",学校マスタ!$H36&gt;=M$3,学校マスタ!$H36&lt;M$3+7),AND(学校マスタ!$J36&lt;&gt;"",学校マスタ!$J36&gt;=M$3,学校マスタ!$J36&lt;M$3+7),AND(学校マスタ!$L36&lt;&gt;"",学校マスタ!$L36&gt;=M$3,学校マスタ!$L36&lt;M$3+7)),"◆",IF(AND(学校マスタ!$O36&lt;&gt;"",学校マスタ!$P36&lt;&gt;"",学校マスタ!$O36&lt;M$3+7,学校マスタ!$P36&gt;=M$3),"█",IF(AND(学校マスタ!$R36&lt;&gt;"",学校マスタ!$U36&lt;&gt;"",学校マスタ!$R36&lt;M$3+7,学校マスタ!$U36&gt;=M$3),"▒","")))))</f>
        <v/>
      </c>
      <c r="N38" s="26">
        <f>IF(学校マスタ!$A36="","",IF(AND(学校マスタ!$U36&lt;&gt;"",学校マスタ!$U36&gt;=N$3,学校マスタ!$U36&lt;N$3+7),"◎",IF(OR(AND(学校マスタ!$H36&lt;&gt;"",学校マスタ!$H36&gt;=N$3,学校マスタ!$H36&lt;N$3+7),AND(学校マスタ!$J36&lt;&gt;"",学校マスタ!$J36&gt;=N$3,学校マスタ!$J36&lt;N$3+7),AND(学校マスタ!$L36&lt;&gt;"",学校マスタ!$L36&gt;=N$3,学校マスタ!$L36&lt;N$3+7)),"◆",IF(AND(学校マスタ!$O36&lt;&gt;"",学校マスタ!$P36&lt;&gt;"",学校マスタ!$O36&lt;N$3+7,学校マスタ!$P36&gt;=N$3),"█",IF(AND(学校マスタ!$R36&lt;&gt;"",学校マスタ!$U36&lt;&gt;"",学校マスタ!$R36&lt;N$3+7,学校マスタ!$U36&gt;=N$3),"▒","")))))</f>
        <v/>
      </c>
      <c r="O38" s="26">
        <f>IF(学校マスタ!$A36="","",IF(AND(学校マスタ!$U36&lt;&gt;"",学校マスタ!$U36&gt;=O$3,学校マスタ!$U36&lt;O$3+7),"◎",IF(OR(AND(学校マスタ!$H36&lt;&gt;"",学校マスタ!$H36&gt;=O$3,学校マスタ!$H36&lt;O$3+7),AND(学校マスタ!$J36&lt;&gt;"",学校マスタ!$J36&gt;=O$3,学校マスタ!$J36&lt;O$3+7),AND(学校マスタ!$L36&lt;&gt;"",学校マスタ!$L36&gt;=O$3,学校マスタ!$L36&lt;O$3+7)),"◆",IF(AND(学校マスタ!$O36&lt;&gt;"",学校マスタ!$P36&lt;&gt;"",学校マスタ!$O36&lt;O$3+7,学校マスタ!$P36&gt;=O$3),"█",IF(AND(学校マスタ!$R36&lt;&gt;"",学校マスタ!$U36&lt;&gt;"",学校マスタ!$R36&lt;O$3+7,学校マスタ!$U36&gt;=O$3),"▒","")))))</f>
        <v/>
      </c>
      <c r="P38" s="26">
        <f>IF(学校マスタ!$A36="","",IF(AND(学校マスタ!$U36&lt;&gt;"",学校マスタ!$U36&gt;=P$3,学校マスタ!$U36&lt;P$3+7),"◎",IF(OR(AND(学校マスタ!$H36&lt;&gt;"",学校マスタ!$H36&gt;=P$3,学校マスタ!$H36&lt;P$3+7),AND(学校マスタ!$J36&lt;&gt;"",学校マスタ!$J36&gt;=P$3,学校マスタ!$J36&lt;P$3+7),AND(学校マスタ!$L36&lt;&gt;"",学校マスタ!$L36&gt;=P$3,学校マスタ!$L36&lt;P$3+7)),"◆",IF(AND(学校マスタ!$O36&lt;&gt;"",学校マスタ!$P36&lt;&gt;"",学校マスタ!$O36&lt;P$3+7,学校マスタ!$P36&gt;=P$3),"█",IF(AND(学校マスタ!$R36&lt;&gt;"",学校マスタ!$U36&lt;&gt;"",学校マスタ!$R36&lt;P$3+7,学校マスタ!$U36&gt;=P$3),"▒","")))))</f>
        <v/>
      </c>
      <c r="Q38" s="26">
        <f>IF(学校マスタ!$A36="","",IF(AND(学校マスタ!$U36&lt;&gt;"",学校マスタ!$U36&gt;=Q$3,学校マスタ!$U36&lt;Q$3+7),"◎",IF(OR(AND(学校マスタ!$H36&lt;&gt;"",学校マスタ!$H36&gt;=Q$3,学校マスタ!$H36&lt;Q$3+7),AND(学校マスタ!$J36&lt;&gt;"",学校マスタ!$J36&gt;=Q$3,学校マスタ!$J36&lt;Q$3+7),AND(学校マスタ!$L36&lt;&gt;"",学校マスタ!$L36&gt;=Q$3,学校マスタ!$L36&lt;Q$3+7)),"◆",IF(AND(学校マスタ!$O36&lt;&gt;"",学校マスタ!$P36&lt;&gt;"",学校マスタ!$O36&lt;Q$3+7,学校マスタ!$P36&gt;=Q$3),"█",IF(AND(学校マスタ!$R36&lt;&gt;"",学校マスタ!$U36&lt;&gt;"",学校マスタ!$R36&lt;Q$3+7,学校マスタ!$U36&gt;=Q$3),"▒","")))))</f>
        <v/>
      </c>
      <c r="R38" s="26">
        <f>IF(学校マスタ!$A36="","",IF(AND(学校マスタ!$U36&lt;&gt;"",学校マスタ!$U36&gt;=R$3,学校マスタ!$U36&lt;R$3+7),"◎",IF(OR(AND(学校マスタ!$H36&lt;&gt;"",学校マスタ!$H36&gt;=R$3,学校マスタ!$H36&lt;R$3+7),AND(学校マスタ!$J36&lt;&gt;"",学校マスタ!$J36&gt;=R$3,学校マスタ!$J36&lt;R$3+7),AND(学校マスタ!$L36&lt;&gt;"",学校マスタ!$L36&gt;=R$3,学校マスタ!$L36&lt;R$3+7)),"◆",IF(AND(学校マスタ!$O36&lt;&gt;"",学校マスタ!$P36&lt;&gt;"",学校マスタ!$O36&lt;R$3+7,学校マスタ!$P36&gt;=R$3),"█",IF(AND(学校マスタ!$R36&lt;&gt;"",学校マスタ!$U36&lt;&gt;"",学校マスタ!$R36&lt;R$3+7,学校マスタ!$U36&gt;=R$3),"▒","")))))</f>
        <v/>
      </c>
      <c r="S38" s="26">
        <f>IF(学校マスタ!$A36="","",IF(AND(学校マスタ!$U36&lt;&gt;"",学校マスタ!$U36&gt;=S$3,学校マスタ!$U36&lt;S$3+7),"◎",IF(OR(AND(学校マスタ!$H36&lt;&gt;"",学校マスタ!$H36&gt;=S$3,学校マスタ!$H36&lt;S$3+7),AND(学校マスタ!$J36&lt;&gt;"",学校マスタ!$J36&gt;=S$3,学校マスタ!$J36&lt;S$3+7),AND(学校マスタ!$L36&lt;&gt;"",学校マスタ!$L36&gt;=S$3,学校マスタ!$L36&lt;S$3+7)),"◆",IF(AND(学校マスタ!$O36&lt;&gt;"",学校マスタ!$P36&lt;&gt;"",学校マスタ!$O36&lt;S$3+7,学校マスタ!$P36&gt;=S$3),"█",IF(AND(学校マスタ!$R36&lt;&gt;"",学校マスタ!$U36&lt;&gt;"",学校マスタ!$R36&lt;S$3+7,学校マスタ!$U36&gt;=S$3),"▒","")))))</f>
        <v/>
      </c>
      <c r="T38" s="26">
        <f>IF(学校マスタ!$A36="","",IF(AND(学校マスタ!$U36&lt;&gt;"",学校マスタ!$U36&gt;=T$3,学校マスタ!$U36&lt;T$3+7),"◎",IF(OR(AND(学校マスタ!$H36&lt;&gt;"",学校マスタ!$H36&gt;=T$3,学校マスタ!$H36&lt;T$3+7),AND(学校マスタ!$J36&lt;&gt;"",学校マスタ!$J36&gt;=T$3,学校マスタ!$J36&lt;T$3+7),AND(学校マスタ!$L36&lt;&gt;"",学校マスタ!$L36&gt;=T$3,学校マスタ!$L36&lt;T$3+7)),"◆",IF(AND(学校マスタ!$O36&lt;&gt;"",学校マスタ!$P36&lt;&gt;"",学校マスタ!$O36&lt;T$3+7,学校マスタ!$P36&gt;=T$3),"█",IF(AND(学校マスタ!$R36&lt;&gt;"",学校マスタ!$U36&lt;&gt;"",学校マスタ!$R36&lt;T$3+7,学校マスタ!$U36&gt;=T$3),"▒","")))))</f>
        <v/>
      </c>
      <c r="U38" s="26">
        <f>IF(学校マスタ!$A36="","",IF(AND(学校マスタ!$U36&lt;&gt;"",学校マスタ!$U36&gt;=U$3,学校マスタ!$U36&lt;U$3+7),"◎",IF(OR(AND(学校マスタ!$H36&lt;&gt;"",学校マスタ!$H36&gt;=U$3,学校マスタ!$H36&lt;U$3+7),AND(学校マスタ!$J36&lt;&gt;"",学校マスタ!$J36&gt;=U$3,学校マスタ!$J36&lt;U$3+7),AND(学校マスタ!$L36&lt;&gt;"",学校マスタ!$L36&gt;=U$3,学校マスタ!$L36&lt;U$3+7)),"◆",IF(AND(学校マスタ!$O36&lt;&gt;"",学校マスタ!$P36&lt;&gt;"",学校マスタ!$O36&lt;U$3+7,学校マスタ!$P36&gt;=U$3),"█",IF(AND(学校マスタ!$R36&lt;&gt;"",学校マスタ!$U36&lt;&gt;"",学校マスタ!$R36&lt;U$3+7,学校マスタ!$U36&gt;=U$3),"▒","")))))</f>
        <v/>
      </c>
      <c r="V38" s="26">
        <f>IF(学校マスタ!$A36="","",IF(AND(学校マスタ!$U36&lt;&gt;"",学校マスタ!$U36&gt;=V$3,学校マスタ!$U36&lt;V$3+7),"◎",IF(OR(AND(学校マスタ!$H36&lt;&gt;"",学校マスタ!$H36&gt;=V$3,学校マスタ!$H36&lt;V$3+7),AND(学校マスタ!$J36&lt;&gt;"",学校マスタ!$J36&gt;=V$3,学校マスタ!$J36&lt;V$3+7),AND(学校マスタ!$L36&lt;&gt;"",学校マスタ!$L36&gt;=V$3,学校マスタ!$L36&lt;V$3+7)),"◆",IF(AND(学校マスタ!$O36&lt;&gt;"",学校マスタ!$P36&lt;&gt;"",学校マスタ!$O36&lt;V$3+7,学校マスタ!$P36&gt;=V$3),"█",IF(AND(学校マスタ!$R36&lt;&gt;"",学校マスタ!$U36&lt;&gt;"",学校マスタ!$R36&lt;V$3+7,学校マスタ!$U36&gt;=V$3),"▒","")))))</f>
        <v/>
      </c>
      <c r="W38" s="26">
        <f>IF(学校マスタ!$A36="","",IF(AND(学校マスタ!$U36&lt;&gt;"",学校マスタ!$U36&gt;=W$3,学校マスタ!$U36&lt;W$3+7),"◎",IF(OR(AND(学校マスタ!$H36&lt;&gt;"",学校マスタ!$H36&gt;=W$3,学校マスタ!$H36&lt;W$3+7),AND(学校マスタ!$J36&lt;&gt;"",学校マスタ!$J36&gt;=W$3,学校マスタ!$J36&lt;W$3+7),AND(学校マスタ!$L36&lt;&gt;"",学校マスタ!$L36&gt;=W$3,学校マスタ!$L36&lt;W$3+7)),"◆",IF(AND(学校マスタ!$O36&lt;&gt;"",学校マスタ!$P36&lt;&gt;"",学校マスタ!$O36&lt;W$3+7,学校マスタ!$P36&gt;=W$3),"█",IF(AND(学校マスタ!$R36&lt;&gt;"",学校マスタ!$U36&lt;&gt;"",学校マスタ!$R36&lt;W$3+7,学校マスタ!$U36&gt;=W$3),"▒","")))))</f>
        <v/>
      </c>
      <c r="X38" s="26">
        <f>IF(学校マスタ!$A36="","",IF(AND(学校マスタ!$U36&lt;&gt;"",学校マスタ!$U36&gt;=X$3,学校マスタ!$U36&lt;X$3+7),"◎",IF(OR(AND(学校マスタ!$H36&lt;&gt;"",学校マスタ!$H36&gt;=X$3,学校マスタ!$H36&lt;X$3+7),AND(学校マスタ!$J36&lt;&gt;"",学校マスタ!$J36&gt;=X$3,学校マスタ!$J36&lt;X$3+7),AND(学校マスタ!$L36&lt;&gt;"",学校マスタ!$L36&gt;=X$3,学校マスタ!$L36&lt;X$3+7)),"◆",IF(AND(学校マスタ!$O36&lt;&gt;"",学校マスタ!$P36&lt;&gt;"",学校マスタ!$O36&lt;X$3+7,学校マスタ!$P36&gt;=X$3),"█",IF(AND(学校マスタ!$R36&lt;&gt;"",学校マスタ!$U36&lt;&gt;"",学校マスタ!$R36&lt;X$3+7,学校マスタ!$U36&gt;=X$3),"▒","")))))</f>
        <v/>
      </c>
      <c r="Y38" s="26">
        <f>IF(学校マスタ!$A36="","",IF(AND(学校マスタ!$U36&lt;&gt;"",学校マスタ!$U36&gt;=Y$3,学校マスタ!$U36&lt;Y$3+7),"◎",IF(OR(AND(学校マスタ!$H36&lt;&gt;"",学校マスタ!$H36&gt;=Y$3,学校マスタ!$H36&lt;Y$3+7),AND(学校マスタ!$J36&lt;&gt;"",学校マスタ!$J36&gt;=Y$3,学校マスタ!$J36&lt;Y$3+7),AND(学校マスタ!$L36&lt;&gt;"",学校マスタ!$L36&gt;=Y$3,学校マスタ!$L36&lt;Y$3+7)),"◆",IF(AND(学校マスタ!$O36&lt;&gt;"",学校マスタ!$P36&lt;&gt;"",学校マスタ!$O36&lt;Y$3+7,学校マスタ!$P36&gt;=Y$3),"█",IF(AND(学校マスタ!$R36&lt;&gt;"",学校マスタ!$U36&lt;&gt;"",学校マスタ!$R36&lt;Y$3+7,学校マスタ!$U36&gt;=Y$3),"▒","")))))</f>
        <v/>
      </c>
      <c r="Z38" s="26">
        <f>IF(学校マスタ!$A36="","",IF(AND(学校マスタ!$U36&lt;&gt;"",学校マスタ!$U36&gt;=Z$3,学校マスタ!$U36&lt;Z$3+7),"◎",IF(OR(AND(学校マスタ!$H36&lt;&gt;"",学校マスタ!$H36&gt;=Z$3,学校マスタ!$H36&lt;Z$3+7),AND(学校マスタ!$J36&lt;&gt;"",学校マスタ!$J36&gt;=Z$3,学校マスタ!$J36&lt;Z$3+7),AND(学校マスタ!$L36&lt;&gt;"",学校マスタ!$L36&gt;=Z$3,学校マスタ!$L36&lt;Z$3+7)),"◆",IF(AND(学校マスタ!$O36&lt;&gt;"",学校マスタ!$P36&lt;&gt;"",学校マスタ!$O36&lt;Z$3+7,学校マスタ!$P36&gt;=Z$3),"█",IF(AND(学校マスタ!$R36&lt;&gt;"",学校マスタ!$U36&lt;&gt;"",学校マスタ!$R36&lt;Z$3+7,学校マスタ!$U36&gt;=Z$3),"▒","")))))</f>
        <v/>
      </c>
      <c r="AA38" s="26">
        <f>IF(学校マスタ!$A36="","",IF(AND(学校マスタ!$U36&lt;&gt;"",学校マスタ!$U36&gt;=AA$3,学校マスタ!$U36&lt;AA$3+7),"◎",IF(OR(AND(学校マスタ!$H36&lt;&gt;"",学校マスタ!$H36&gt;=AA$3,学校マスタ!$H36&lt;AA$3+7),AND(学校マスタ!$J36&lt;&gt;"",学校マスタ!$J36&gt;=AA$3,学校マスタ!$J36&lt;AA$3+7),AND(学校マスタ!$L36&lt;&gt;"",学校マスタ!$L36&gt;=AA$3,学校マスタ!$L36&lt;AA$3+7)),"◆",IF(AND(学校マスタ!$O36&lt;&gt;"",学校マスタ!$P36&lt;&gt;"",学校マスタ!$O36&lt;AA$3+7,学校マスタ!$P36&gt;=AA$3),"█",IF(AND(学校マスタ!$R36&lt;&gt;"",学校マスタ!$U36&lt;&gt;"",学校マスタ!$R36&lt;AA$3+7,学校マスタ!$U36&gt;=AA$3),"▒","")))))</f>
        <v/>
      </c>
      <c r="AB38" s="26">
        <f>IF(学校マスタ!$A36="","",IF(AND(学校マスタ!$U36&lt;&gt;"",学校マスタ!$U36&gt;=AB$3,学校マスタ!$U36&lt;AB$3+7),"◎",IF(OR(AND(学校マスタ!$H36&lt;&gt;"",学校マスタ!$H36&gt;=AB$3,学校マスタ!$H36&lt;AB$3+7),AND(学校マスタ!$J36&lt;&gt;"",学校マスタ!$J36&gt;=AB$3,学校マスタ!$J36&lt;AB$3+7),AND(学校マスタ!$L36&lt;&gt;"",学校マスタ!$L36&gt;=AB$3,学校マスタ!$L36&lt;AB$3+7)),"◆",IF(AND(学校マスタ!$O36&lt;&gt;"",学校マスタ!$P36&lt;&gt;"",学校マスタ!$O36&lt;AB$3+7,学校マスタ!$P36&gt;=AB$3),"█",IF(AND(学校マスタ!$R36&lt;&gt;"",学校マスタ!$U36&lt;&gt;"",学校マスタ!$R36&lt;AB$3+7,学校マスタ!$U36&gt;=AB$3),"▒","")))))</f>
        <v/>
      </c>
    </row>
    <row r="39">
      <c r="A39" s="19">
        <f>IF(学校マスタ!$A37="","",学校マスタ!$A37)</f>
        <v/>
      </c>
      <c r="B39" s="19">
        <f>IF(学校マスタ!$A37="","",学校マスタ!$C37)</f>
        <v/>
      </c>
      <c r="C39" s="19">
        <f>IF(学校マスタ!$A37="","",学校マスタ!$X37)</f>
        <v/>
      </c>
      <c r="D39" s="25">
        <f>IF(学校マスタ!$A37="","",学校マスタ!$R37)</f>
        <v/>
      </c>
      <c r="E39" s="26">
        <f>IF(学校マスタ!$A37="","",IF(AND(学校マスタ!$U37&lt;&gt;"",学校マスタ!$U37&gt;=E$3,学校マスタ!$U37&lt;E$3+7),"◎",IF(OR(AND(学校マスタ!$H37&lt;&gt;"",学校マスタ!$H37&gt;=E$3,学校マスタ!$H37&lt;E$3+7),AND(学校マスタ!$J37&lt;&gt;"",学校マスタ!$J37&gt;=E$3,学校マスタ!$J37&lt;E$3+7),AND(学校マスタ!$L37&lt;&gt;"",学校マスタ!$L37&gt;=E$3,学校マスタ!$L37&lt;E$3+7)),"◆",IF(AND(学校マスタ!$O37&lt;&gt;"",学校マスタ!$P37&lt;&gt;"",学校マスタ!$O37&lt;E$3+7,学校マスタ!$P37&gt;=E$3),"█",IF(AND(学校マスタ!$R37&lt;&gt;"",学校マスタ!$U37&lt;&gt;"",学校マスタ!$R37&lt;E$3+7,学校マスタ!$U37&gt;=E$3),"▒","")))))</f>
        <v/>
      </c>
      <c r="F39" s="26">
        <f>IF(学校マスタ!$A37="","",IF(AND(学校マスタ!$U37&lt;&gt;"",学校マスタ!$U37&gt;=F$3,学校マスタ!$U37&lt;F$3+7),"◎",IF(OR(AND(学校マスタ!$H37&lt;&gt;"",学校マスタ!$H37&gt;=F$3,学校マスタ!$H37&lt;F$3+7),AND(学校マスタ!$J37&lt;&gt;"",学校マスタ!$J37&gt;=F$3,学校マスタ!$J37&lt;F$3+7),AND(学校マスタ!$L37&lt;&gt;"",学校マスタ!$L37&gt;=F$3,学校マスタ!$L37&lt;F$3+7)),"◆",IF(AND(学校マスタ!$O37&lt;&gt;"",学校マスタ!$P37&lt;&gt;"",学校マスタ!$O37&lt;F$3+7,学校マスタ!$P37&gt;=F$3),"█",IF(AND(学校マスタ!$R37&lt;&gt;"",学校マスタ!$U37&lt;&gt;"",学校マスタ!$R37&lt;F$3+7,学校マスタ!$U37&gt;=F$3),"▒","")))))</f>
        <v/>
      </c>
      <c r="G39" s="26">
        <f>IF(学校マスタ!$A37="","",IF(AND(学校マスタ!$U37&lt;&gt;"",学校マスタ!$U37&gt;=G$3,学校マスタ!$U37&lt;G$3+7),"◎",IF(OR(AND(学校マスタ!$H37&lt;&gt;"",学校マスタ!$H37&gt;=G$3,学校マスタ!$H37&lt;G$3+7),AND(学校マスタ!$J37&lt;&gt;"",学校マスタ!$J37&gt;=G$3,学校マスタ!$J37&lt;G$3+7),AND(学校マスタ!$L37&lt;&gt;"",学校マスタ!$L37&gt;=G$3,学校マスタ!$L37&lt;G$3+7)),"◆",IF(AND(学校マスタ!$O37&lt;&gt;"",学校マスタ!$P37&lt;&gt;"",学校マスタ!$O37&lt;G$3+7,学校マスタ!$P37&gt;=G$3),"█",IF(AND(学校マスタ!$R37&lt;&gt;"",学校マスタ!$U37&lt;&gt;"",学校マスタ!$R37&lt;G$3+7,学校マスタ!$U37&gt;=G$3),"▒","")))))</f>
        <v/>
      </c>
      <c r="H39" s="26">
        <f>IF(学校マスタ!$A37="","",IF(AND(学校マスタ!$U37&lt;&gt;"",学校マスタ!$U37&gt;=H$3,学校マスタ!$U37&lt;H$3+7),"◎",IF(OR(AND(学校マスタ!$H37&lt;&gt;"",学校マスタ!$H37&gt;=H$3,学校マスタ!$H37&lt;H$3+7),AND(学校マスタ!$J37&lt;&gt;"",学校マスタ!$J37&gt;=H$3,学校マスタ!$J37&lt;H$3+7),AND(学校マスタ!$L37&lt;&gt;"",学校マスタ!$L37&gt;=H$3,学校マスタ!$L37&lt;H$3+7)),"◆",IF(AND(学校マスタ!$O37&lt;&gt;"",学校マスタ!$P37&lt;&gt;"",学校マスタ!$O37&lt;H$3+7,学校マスタ!$P37&gt;=H$3),"█",IF(AND(学校マスタ!$R37&lt;&gt;"",学校マスタ!$U37&lt;&gt;"",学校マスタ!$R37&lt;H$3+7,学校マスタ!$U37&gt;=H$3),"▒","")))))</f>
        <v/>
      </c>
      <c r="I39" s="26">
        <f>IF(学校マスタ!$A37="","",IF(AND(学校マスタ!$U37&lt;&gt;"",学校マスタ!$U37&gt;=I$3,学校マスタ!$U37&lt;I$3+7),"◎",IF(OR(AND(学校マスタ!$H37&lt;&gt;"",学校マスタ!$H37&gt;=I$3,学校マスタ!$H37&lt;I$3+7),AND(学校マスタ!$J37&lt;&gt;"",学校マスタ!$J37&gt;=I$3,学校マスタ!$J37&lt;I$3+7),AND(学校マスタ!$L37&lt;&gt;"",学校マスタ!$L37&gt;=I$3,学校マスタ!$L37&lt;I$3+7)),"◆",IF(AND(学校マスタ!$O37&lt;&gt;"",学校マスタ!$P37&lt;&gt;"",学校マスタ!$O37&lt;I$3+7,学校マスタ!$P37&gt;=I$3),"█",IF(AND(学校マスタ!$R37&lt;&gt;"",学校マスタ!$U37&lt;&gt;"",学校マスタ!$R37&lt;I$3+7,学校マスタ!$U37&gt;=I$3),"▒","")))))</f>
        <v/>
      </c>
      <c r="J39" s="26">
        <f>IF(学校マスタ!$A37="","",IF(AND(学校マスタ!$U37&lt;&gt;"",学校マスタ!$U37&gt;=J$3,学校マスタ!$U37&lt;J$3+7),"◎",IF(OR(AND(学校マスタ!$H37&lt;&gt;"",学校マスタ!$H37&gt;=J$3,学校マスタ!$H37&lt;J$3+7),AND(学校マスタ!$J37&lt;&gt;"",学校マスタ!$J37&gt;=J$3,学校マスタ!$J37&lt;J$3+7),AND(学校マスタ!$L37&lt;&gt;"",学校マスタ!$L37&gt;=J$3,学校マスタ!$L37&lt;J$3+7)),"◆",IF(AND(学校マスタ!$O37&lt;&gt;"",学校マスタ!$P37&lt;&gt;"",学校マスタ!$O37&lt;J$3+7,学校マスタ!$P37&gt;=J$3),"█",IF(AND(学校マスタ!$R37&lt;&gt;"",学校マスタ!$U37&lt;&gt;"",学校マスタ!$R37&lt;J$3+7,学校マスタ!$U37&gt;=J$3),"▒","")))))</f>
        <v/>
      </c>
      <c r="K39" s="26">
        <f>IF(学校マスタ!$A37="","",IF(AND(学校マスタ!$U37&lt;&gt;"",学校マスタ!$U37&gt;=K$3,学校マスタ!$U37&lt;K$3+7),"◎",IF(OR(AND(学校マスタ!$H37&lt;&gt;"",学校マスタ!$H37&gt;=K$3,学校マスタ!$H37&lt;K$3+7),AND(学校マスタ!$J37&lt;&gt;"",学校マスタ!$J37&gt;=K$3,学校マスタ!$J37&lt;K$3+7),AND(学校マスタ!$L37&lt;&gt;"",学校マスタ!$L37&gt;=K$3,学校マスタ!$L37&lt;K$3+7)),"◆",IF(AND(学校マスタ!$O37&lt;&gt;"",学校マスタ!$P37&lt;&gt;"",学校マスタ!$O37&lt;K$3+7,学校マスタ!$P37&gt;=K$3),"█",IF(AND(学校マスタ!$R37&lt;&gt;"",学校マスタ!$U37&lt;&gt;"",学校マスタ!$R37&lt;K$3+7,学校マスタ!$U37&gt;=K$3),"▒","")))))</f>
        <v/>
      </c>
      <c r="L39" s="26">
        <f>IF(学校マスタ!$A37="","",IF(AND(学校マスタ!$U37&lt;&gt;"",学校マスタ!$U37&gt;=L$3,学校マスタ!$U37&lt;L$3+7),"◎",IF(OR(AND(学校マスタ!$H37&lt;&gt;"",学校マスタ!$H37&gt;=L$3,学校マスタ!$H37&lt;L$3+7),AND(学校マスタ!$J37&lt;&gt;"",学校マスタ!$J37&gt;=L$3,学校マスタ!$J37&lt;L$3+7),AND(学校マスタ!$L37&lt;&gt;"",学校マスタ!$L37&gt;=L$3,学校マスタ!$L37&lt;L$3+7)),"◆",IF(AND(学校マスタ!$O37&lt;&gt;"",学校マスタ!$P37&lt;&gt;"",学校マスタ!$O37&lt;L$3+7,学校マスタ!$P37&gt;=L$3),"█",IF(AND(学校マスタ!$R37&lt;&gt;"",学校マスタ!$U37&lt;&gt;"",学校マスタ!$R37&lt;L$3+7,学校マスタ!$U37&gt;=L$3),"▒","")))))</f>
        <v/>
      </c>
      <c r="M39" s="26">
        <f>IF(学校マスタ!$A37="","",IF(AND(学校マスタ!$U37&lt;&gt;"",学校マスタ!$U37&gt;=M$3,学校マスタ!$U37&lt;M$3+7),"◎",IF(OR(AND(学校マスタ!$H37&lt;&gt;"",学校マスタ!$H37&gt;=M$3,学校マスタ!$H37&lt;M$3+7),AND(学校マスタ!$J37&lt;&gt;"",学校マスタ!$J37&gt;=M$3,学校マスタ!$J37&lt;M$3+7),AND(学校マスタ!$L37&lt;&gt;"",学校マスタ!$L37&gt;=M$3,学校マスタ!$L37&lt;M$3+7)),"◆",IF(AND(学校マスタ!$O37&lt;&gt;"",学校マスタ!$P37&lt;&gt;"",学校マスタ!$O37&lt;M$3+7,学校マスタ!$P37&gt;=M$3),"█",IF(AND(学校マスタ!$R37&lt;&gt;"",学校マスタ!$U37&lt;&gt;"",学校マスタ!$R37&lt;M$3+7,学校マスタ!$U37&gt;=M$3),"▒","")))))</f>
        <v/>
      </c>
      <c r="N39" s="26">
        <f>IF(学校マスタ!$A37="","",IF(AND(学校マスタ!$U37&lt;&gt;"",学校マスタ!$U37&gt;=N$3,学校マスタ!$U37&lt;N$3+7),"◎",IF(OR(AND(学校マスタ!$H37&lt;&gt;"",学校マスタ!$H37&gt;=N$3,学校マスタ!$H37&lt;N$3+7),AND(学校マスタ!$J37&lt;&gt;"",学校マスタ!$J37&gt;=N$3,学校マスタ!$J37&lt;N$3+7),AND(学校マスタ!$L37&lt;&gt;"",学校マスタ!$L37&gt;=N$3,学校マスタ!$L37&lt;N$3+7)),"◆",IF(AND(学校マスタ!$O37&lt;&gt;"",学校マスタ!$P37&lt;&gt;"",学校マスタ!$O37&lt;N$3+7,学校マスタ!$P37&gt;=N$3),"█",IF(AND(学校マスタ!$R37&lt;&gt;"",学校マスタ!$U37&lt;&gt;"",学校マスタ!$R37&lt;N$3+7,学校マスタ!$U37&gt;=N$3),"▒","")))))</f>
        <v/>
      </c>
      <c r="O39" s="26">
        <f>IF(学校マスタ!$A37="","",IF(AND(学校マスタ!$U37&lt;&gt;"",学校マスタ!$U37&gt;=O$3,学校マスタ!$U37&lt;O$3+7),"◎",IF(OR(AND(学校マスタ!$H37&lt;&gt;"",学校マスタ!$H37&gt;=O$3,学校マスタ!$H37&lt;O$3+7),AND(学校マスタ!$J37&lt;&gt;"",学校マスタ!$J37&gt;=O$3,学校マスタ!$J37&lt;O$3+7),AND(学校マスタ!$L37&lt;&gt;"",学校マスタ!$L37&gt;=O$3,学校マスタ!$L37&lt;O$3+7)),"◆",IF(AND(学校マスタ!$O37&lt;&gt;"",学校マスタ!$P37&lt;&gt;"",学校マスタ!$O37&lt;O$3+7,学校マスタ!$P37&gt;=O$3),"█",IF(AND(学校マスタ!$R37&lt;&gt;"",学校マスタ!$U37&lt;&gt;"",学校マスタ!$R37&lt;O$3+7,学校マスタ!$U37&gt;=O$3),"▒","")))))</f>
        <v/>
      </c>
      <c r="P39" s="26">
        <f>IF(学校マスタ!$A37="","",IF(AND(学校マスタ!$U37&lt;&gt;"",学校マスタ!$U37&gt;=P$3,学校マスタ!$U37&lt;P$3+7),"◎",IF(OR(AND(学校マスタ!$H37&lt;&gt;"",学校マスタ!$H37&gt;=P$3,学校マスタ!$H37&lt;P$3+7),AND(学校マスタ!$J37&lt;&gt;"",学校マスタ!$J37&gt;=P$3,学校マスタ!$J37&lt;P$3+7),AND(学校マスタ!$L37&lt;&gt;"",学校マスタ!$L37&gt;=P$3,学校マスタ!$L37&lt;P$3+7)),"◆",IF(AND(学校マスタ!$O37&lt;&gt;"",学校マスタ!$P37&lt;&gt;"",学校マスタ!$O37&lt;P$3+7,学校マスタ!$P37&gt;=P$3),"█",IF(AND(学校マスタ!$R37&lt;&gt;"",学校マスタ!$U37&lt;&gt;"",学校マスタ!$R37&lt;P$3+7,学校マスタ!$U37&gt;=P$3),"▒","")))))</f>
        <v/>
      </c>
      <c r="Q39" s="26">
        <f>IF(学校マスタ!$A37="","",IF(AND(学校マスタ!$U37&lt;&gt;"",学校マスタ!$U37&gt;=Q$3,学校マスタ!$U37&lt;Q$3+7),"◎",IF(OR(AND(学校マスタ!$H37&lt;&gt;"",学校マスタ!$H37&gt;=Q$3,学校マスタ!$H37&lt;Q$3+7),AND(学校マスタ!$J37&lt;&gt;"",学校マスタ!$J37&gt;=Q$3,学校マスタ!$J37&lt;Q$3+7),AND(学校マスタ!$L37&lt;&gt;"",学校マスタ!$L37&gt;=Q$3,学校マスタ!$L37&lt;Q$3+7)),"◆",IF(AND(学校マスタ!$O37&lt;&gt;"",学校マスタ!$P37&lt;&gt;"",学校マスタ!$O37&lt;Q$3+7,学校マスタ!$P37&gt;=Q$3),"█",IF(AND(学校マスタ!$R37&lt;&gt;"",学校マスタ!$U37&lt;&gt;"",学校マスタ!$R37&lt;Q$3+7,学校マスタ!$U37&gt;=Q$3),"▒","")))))</f>
        <v/>
      </c>
      <c r="R39" s="26">
        <f>IF(学校マスタ!$A37="","",IF(AND(学校マスタ!$U37&lt;&gt;"",学校マスタ!$U37&gt;=R$3,学校マスタ!$U37&lt;R$3+7),"◎",IF(OR(AND(学校マスタ!$H37&lt;&gt;"",学校マスタ!$H37&gt;=R$3,学校マスタ!$H37&lt;R$3+7),AND(学校マスタ!$J37&lt;&gt;"",学校マスタ!$J37&gt;=R$3,学校マスタ!$J37&lt;R$3+7),AND(学校マスタ!$L37&lt;&gt;"",学校マスタ!$L37&gt;=R$3,学校マスタ!$L37&lt;R$3+7)),"◆",IF(AND(学校マスタ!$O37&lt;&gt;"",学校マスタ!$P37&lt;&gt;"",学校マスタ!$O37&lt;R$3+7,学校マスタ!$P37&gt;=R$3),"█",IF(AND(学校マスタ!$R37&lt;&gt;"",学校マスタ!$U37&lt;&gt;"",学校マスタ!$R37&lt;R$3+7,学校マスタ!$U37&gt;=R$3),"▒","")))))</f>
        <v/>
      </c>
      <c r="S39" s="26">
        <f>IF(学校マスタ!$A37="","",IF(AND(学校マスタ!$U37&lt;&gt;"",学校マスタ!$U37&gt;=S$3,学校マスタ!$U37&lt;S$3+7),"◎",IF(OR(AND(学校マスタ!$H37&lt;&gt;"",学校マスタ!$H37&gt;=S$3,学校マスタ!$H37&lt;S$3+7),AND(学校マスタ!$J37&lt;&gt;"",学校マスタ!$J37&gt;=S$3,学校マスタ!$J37&lt;S$3+7),AND(学校マスタ!$L37&lt;&gt;"",学校マスタ!$L37&gt;=S$3,学校マスタ!$L37&lt;S$3+7)),"◆",IF(AND(学校マスタ!$O37&lt;&gt;"",学校マスタ!$P37&lt;&gt;"",学校マスタ!$O37&lt;S$3+7,学校マスタ!$P37&gt;=S$3),"█",IF(AND(学校マスタ!$R37&lt;&gt;"",学校マスタ!$U37&lt;&gt;"",学校マスタ!$R37&lt;S$3+7,学校マスタ!$U37&gt;=S$3),"▒","")))))</f>
        <v/>
      </c>
      <c r="T39" s="26">
        <f>IF(学校マスタ!$A37="","",IF(AND(学校マスタ!$U37&lt;&gt;"",学校マスタ!$U37&gt;=T$3,学校マスタ!$U37&lt;T$3+7),"◎",IF(OR(AND(学校マスタ!$H37&lt;&gt;"",学校マスタ!$H37&gt;=T$3,学校マスタ!$H37&lt;T$3+7),AND(学校マスタ!$J37&lt;&gt;"",学校マスタ!$J37&gt;=T$3,学校マスタ!$J37&lt;T$3+7),AND(学校マスタ!$L37&lt;&gt;"",学校マスタ!$L37&gt;=T$3,学校マスタ!$L37&lt;T$3+7)),"◆",IF(AND(学校マスタ!$O37&lt;&gt;"",学校マスタ!$P37&lt;&gt;"",学校マスタ!$O37&lt;T$3+7,学校マスタ!$P37&gt;=T$3),"█",IF(AND(学校マスタ!$R37&lt;&gt;"",学校マスタ!$U37&lt;&gt;"",学校マスタ!$R37&lt;T$3+7,学校マスタ!$U37&gt;=T$3),"▒","")))))</f>
        <v/>
      </c>
      <c r="U39" s="26">
        <f>IF(学校マスタ!$A37="","",IF(AND(学校マスタ!$U37&lt;&gt;"",学校マスタ!$U37&gt;=U$3,学校マスタ!$U37&lt;U$3+7),"◎",IF(OR(AND(学校マスタ!$H37&lt;&gt;"",学校マスタ!$H37&gt;=U$3,学校マスタ!$H37&lt;U$3+7),AND(学校マスタ!$J37&lt;&gt;"",学校マスタ!$J37&gt;=U$3,学校マスタ!$J37&lt;U$3+7),AND(学校マスタ!$L37&lt;&gt;"",学校マスタ!$L37&gt;=U$3,学校マスタ!$L37&lt;U$3+7)),"◆",IF(AND(学校マスタ!$O37&lt;&gt;"",学校マスタ!$P37&lt;&gt;"",学校マスタ!$O37&lt;U$3+7,学校マスタ!$P37&gt;=U$3),"█",IF(AND(学校マスタ!$R37&lt;&gt;"",学校マスタ!$U37&lt;&gt;"",学校マスタ!$R37&lt;U$3+7,学校マスタ!$U37&gt;=U$3),"▒","")))))</f>
        <v/>
      </c>
      <c r="V39" s="26">
        <f>IF(学校マスタ!$A37="","",IF(AND(学校マスタ!$U37&lt;&gt;"",学校マスタ!$U37&gt;=V$3,学校マスタ!$U37&lt;V$3+7),"◎",IF(OR(AND(学校マスタ!$H37&lt;&gt;"",学校マスタ!$H37&gt;=V$3,学校マスタ!$H37&lt;V$3+7),AND(学校マスタ!$J37&lt;&gt;"",学校マスタ!$J37&gt;=V$3,学校マスタ!$J37&lt;V$3+7),AND(学校マスタ!$L37&lt;&gt;"",学校マスタ!$L37&gt;=V$3,学校マスタ!$L37&lt;V$3+7)),"◆",IF(AND(学校マスタ!$O37&lt;&gt;"",学校マスタ!$P37&lt;&gt;"",学校マスタ!$O37&lt;V$3+7,学校マスタ!$P37&gt;=V$3),"█",IF(AND(学校マスタ!$R37&lt;&gt;"",学校マスタ!$U37&lt;&gt;"",学校マスタ!$R37&lt;V$3+7,学校マスタ!$U37&gt;=V$3),"▒","")))))</f>
        <v/>
      </c>
      <c r="W39" s="26">
        <f>IF(学校マスタ!$A37="","",IF(AND(学校マスタ!$U37&lt;&gt;"",学校マスタ!$U37&gt;=W$3,学校マスタ!$U37&lt;W$3+7),"◎",IF(OR(AND(学校マスタ!$H37&lt;&gt;"",学校マスタ!$H37&gt;=W$3,学校マスタ!$H37&lt;W$3+7),AND(学校マスタ!$J37&lt;&gt;"",学校マスタ!$J37&gt;=W$3,学校マスタ!$J37&lt;W$3+7),AND(学校マスタ!$L37&lt;&gt;"",学校マスタ!$L37&gt;=W$3,学校マスタ!$L37&lt;W$3+7)),"◆",IF(AND(学校マスタ!$O37&lt;&gt;"",学校マスタ!$P37&lt;&gt;"",学校マスタ!$O37&lt;W$3+7,学校マスタ!$P37&gt;=W$3),"█",IF(AND(学校マスタ!$R37&lt;&gt;"",学校マスタ!$U37&lt;&gt;"",学校マスタ!$R37&lt;W$3+7,学校マスタ!$U37&gt;=W$3),"▒","")))))</f>
        <v/>
      </c>
      <c r="X39" s="26">
        <f>IF(学校マスタ!$A37="","",IF(AND(学校マスタ!$U37&lt;&gt;"",学校マスタ!$U37&gt;=X$3,学校マスタ!$U37&lt;X$3+7),"◎",IF(OR(AND(学校マスタ!$H37&lt;&gt;"",学校マスタ!$H37&gt;=X$3,学校マスタ!$H37&lt;X$3+7),AND(学校マスタ!$J37&lt;&gt;"",学校マスタ!$J37&gt;=X$3,学校マスタ!$J37&lt;X$3+7),AND(学校マスタ!$L37&lt;&gt;"",学校マスタ!$L37&gt;=X$3,学校マスタ!$L37&lt;X$3+7)),"◆",IF(AND(学校マスタ!$O37&lt;&gt;"",学校マスタ!$P37&lt;&gt;"",学校マスタ!$O37&lt;X$3+7,学校マスタ!$P37&gt;=X$3),"█",IF(AND(学校マスタ!$R37&lt;&gt;"",学校マスタ!$U37&lt;&gt;"",学校マスタ!$R37&lt;X$3+7,学校マスタ!$U37&gt;=X$3),"▒","")))))</f>
        <v/>
      </c>
      <c r="Y39" s="26">
        <f>IF(学校マスタ!$A37="","",IF(AND(学校マスタ!$U37&lt;&gt;"",学校マスタ!$U37&gt;=Y$3,学校マスタ!$U37&lt;Y$3+7),"◎",IF(OR(AND(学校マスタ!$H37&lt;&gt;"",学校マスタ!$H37&gt;=Y$3,学校マスタ!$H37&lt;Y$3+7),AND(学校マスタ!$J37&lt;&gt;"",学校マスタ!$J37&gt;=Y$3,学校マスタ!$J37&lt;Y$3+7),AND(学校マスタ!$L37&lt;&gt;"",学校マスタ!$L37&gt;=Y$3,学校マスタ!$L37&lt;Y$3+7)),"◆",IF(AND(学校マスタ!$O37&lt;&gt;"",学校マスタ!$P37&lt;&gt;"",学校マスタ!$O37&lt;Y$3+7,学校マスタ!$P37&gt;=Y$3),"█",IF(AND(学校マスタ!$R37&lt;&gt;"",学校マスタ!$U37&lt;&gt;"",学校マスタ!$R37&lt;Y$3+7,学校マスタ!$U37&gt;=Y$3),"▒","")))))</f>
        <v/>
      </c>
      <c r="Z39" s="26">
        <f>IF(学校マスタ!$A37="","",IF(AND(学校マスタ!$U37&lt;&gt;"",学校マスタ!$U37&gt;=Z$3,学校マスタ!$U37&lt;Z$3+7),"◎",IF(OR(AND(学校マスタ!$H37&lt;&gt;"",学校マスタ!$H37&gt;=Z$3,学校マスタ!$H37&lt;Z$3+7),AND(学校マスタ!$J37&lt;&gt;"",学校マスタ!$J37&gt;=Z$3,学校マスタ!$J37&lt;Z$3+7),AND(学校マスタ!$L37&lt;&gt;"",学校マスタ!$L37&gt;=Z$3,学校マスタ!$L37&lt;Z$3+7)),"◆",IF(AND(学校マスタ!$O37&lt;&gt;"",学校マスタ!$P37&lt;&gt;"",学校マスタ!$O37&lt;Z$3+7,学校マスタ!$P37&gt;=Z$3),"█",IF(AND(学校マスタ!$R37&lt;&gt;"",学校マスタ!$U37&lt;&gt;"",学校マスタ!$R37&lt;Z$3+7,学校マスタ!$U37&gt;=Z$3),"▒","")))))</f>
        <v/>
      </c>
      <c r="AA39" s="26">
        <f>IF(学校マスタ!$A37="","",IF(AND(学校マスタ!$U37&lt;&gt;"",学校マスタ!$U37&gt;=AA$3,学校マスタ!$U37&lt;AA$3+7),"◎",IF(OR(AND(学校マスタ!$H37&lt;&gt;"",学校マスタ!$H37&gt;=AA$3,学校マスタ!$H37&lt;AA$3+7),AND(学校マスタ!$J37&lt;&gt;"",学校マスタ!$J37&gt;=AA$3,学校マスタ!$J37&lt;AA$3+7),AND(学校マスタ!$L37&lt;&gt;"",学校マスタ!$L37&gt;=AA$3,学校マスタ!$L37&lt;AA$3+7)),"◆",IF(AND(学校マスタ!$O37&lt;&gt;"",学校マスタ!$P37&lt;&gt;"",学校マスタ!$O37&lt;AA$3+7,学校マスタ!$P37&gt;=AA$3),"█",IF(AND(学校マスタ!$R37&lt;&gt;"",学校マスタ!$U37&lt;&gt;"",学校マスタ!$R37&lt;AA$3+7,学校マスタ!$U37&gt;=AA$3),"▒","")))))</f>
        <v/>
      </c>
      <c r="AB39" s="26">
        <f>IF(学校マスタ!$A37="","",IF(AND(学校マスタ!$U37&lt;&gt;"",学校マスタ!$U37&gt;=AB$3,学校マスタ!$U37&lt;AB$3+7),"◎",IF(OR(AND(学校マスタ!$H37&lt;&gt;"",学校マスタ!$H37&gt;=AB$3,学校マスタ!$H37&lt;AB$3+7),AND(学校マスタ!$J37&lt;&gt;"",学校マスタ!$J37&gt;=AB$3,学校マスタ!$J37&lt;AB$3+7),AND(学校マスタ!$L37&lt;&gt;"",学校マスタ!$L37&gt;=AB$3,学校マスタ!$L37&lt;AB$3+7)),"◆",IF(AND(学校マスタ!$O37&lt;&gt;"",学校マスタ!$P37&lt;&gt;"",学校マスタ!$O37&lt;AB$3+7,学校マスタ!$P37&gt;=AB$3),"█",IF(AND(学校マスタ!$R37&lt;&gt;"",学校マスタ!$U37&lt;&gt;"",学校マスタ!$R37&lt;AB$3+7,学校マスタ!$U37&gt;=AB$3),"▒","")))))</f>
        <v/>
      </c>
    </row>
    <row r="40">
      <c r="A40" s="19">
        <f>IF(学校マスタ!$A38="","",学校マスタ!$A38)</f>
        <v/>
      </c>
      <c r="B40" s="19">
        <f>IF(学校マスタ!$A38="","",学校マスタ!$C38)</f>
        <v/>
      </c>
      <c r="C40" s="19">
        <f>IF(学校マスタ!$A38="","",学校マスタ!$X38)</f>
        <v/>
      </c>
      <c r="D40" s="25">
        <f>IF(学校マスタ!$A38="","",学校マスタ!$R38)</f>
        <v/>
      </c>
      <c r="E40" s="26">
        <f>IF(学校マスタ!$A38="","",IF(AND(学校マスタ!$U38&lt;&gt;"",学校マスタ!$U38&gt;=E$3,学校マスタ!$U38&lt;E$3+7),"◎",IF(OR(AND(学校マスタ!$H38&lt;&gt;"",学校マスタ!$H38&gt;=E$3,学校マスタ!$H38&lt;E$3+7),AND(学校マスタ!$J38&lt;&gt;"",学校マスタ!$J38&gt;=E$3,学校マスタ!$J38&lt;E$3+7),AND(学校マスタ!$L38&lt;&gt;"",学校マスタ!$L38&gt;=E$3,学校マスタ!$L38&lt;E$3+7)),"◆",IF(AND(学校マスタ!$O38&lt;&gt;"",学校マスタ!$P38&lt;&gt;"",学校マスタ!$O38&lt;E$3+7,学校マスタ!$P38&gt;=E$3),"█",IF(AND(学校マスタ!$R38&lt;&gt;"",学校マスタ!$U38&lt;&gt;"",学校マスタ!$R38&lt;E$3+7,学校マスタ!$U38&gt;=E$3),"▒","")))))</f>
        <v/>
      </c>
      <c r="F40" s="26">
        <f>IF(学校マスタ!$A38="","",IF(AND(学校マスタ!$U38&lt;&gt;"",学校マスタ!$U38&gt;=F$3,学校マスタ!$U38&lt;F$3+7),"◎",IF(OR(AND(学校マスタ!$H38&lt;&gt;"",学校マスタ!$H38&gt;=F$3,学校マスタ!$H38&lt;F$3+7),AND(学校マスタ!$J38&lt;&gt;"",学校マスタ!$J38&gt;=F$3,学校マスタ!$J38&lt;F$3+7),AND(学校マスタ!$L38&lt;&gt;"",学校マスタ!$L38&gt;=F$3,学校マスタ!$L38&lt;F$3+7)),"◆",IF(AND(学校マスタ!$O38&lt;&gt;"",学校マスタ!$P38&lt;&gt;"",学校マスタ!$O38&lt;F$3+7,学校マスタ!$P38&gt;=F$3),"█",IF(AND(学校マスタ!$R38&lt;&gt;"",学校マスタ!$U38&lt;&gt;"",学校マスタ!$R38&lt;F$3+7,学校マスタ!$U38&gt;=F$3),"▒","")))))</f>
        <v/>
      </c>
      <c r="G40" s="26">
        <f>IF(学校マスタ!$A38="","",IF(AND(学校マスタ!$U38&lt;&gt;"",学校マスタ!$U38&gt;=G$3,学校マスタ!$U38&lt;G$3+7),"◎",IF(OR(AND(学校マスタ!$H38&lt;&gt;"",学校マスタ!$H38&gt;=G$3,学校マスタ!$H38&lt;G$3+7),AND(学校マスタ!$J38&lt;&gt;"",学校マスタ!$J38&gt;=G$3,学校マスタ!$J38&lt;G$3+7),AND(学校マスタ!$L38&lt;&gt;"",学校マスタ!$L38&gt;=G$3,学校マスタ!$L38&lt;G$3+7)),"◆",IF(AND(学校マスタ!$O38&lt;&gt;"",学校マスタ!$P38&lt;&gt;"",学校マスタ!$O38&lt;G$3+7,学校マスタ!$P38&gt;=G$3),"█",IF(AND(学校マスタ!$R38&lt;&gt;"",学校マスタ!$U38&lt;&gt;"",学校マスタ!$R38&lt;G$3+7,学校マスタ!$U38&gt;=G$3),"▒","")))))</f>
        <v/>
      </c>
      <c r="H40" s="26">
        <f>IF(学校マスタ!$A38="","",IF(AND(学校マスタ!$U38&lt;&gt;"",学校マスタ!$U38&gt;=H$3,学校マスタ!$U38&lt;H$3+7),"◎",IF(OR(AND(学校マスタ!$H38&lt;&gt;"",学校マスタ!$H38&gt;=H$3,学校マスタ!$H38&lt;H$3+7),AND(学校マスタ!$J38&lt;&gt;"",学校マスタ!$J38&gt;=H$3,学校マスタ!$J38&lt;H$3+7),AND(学校マスタ!$L38&lt;&gt;"",学校マスタ!$L38&gt;=H$3,学校マスタ!$L38&lt;H$3+7)),"◆",IF(AND(学校マスタ!$O38&lt;&gt;"",学校マスタ!$P38&lt;&gt;"",学校マスタ!$O38&lt;H$3+7,学校マスタ!$P38&gt;=H$3),"█",IF(AND(学校マスタ!$R38&lt;&gt;"",学校マスタ!$U38&lt;&gt;"",学校マスタ!$R38&lt;H$3+7,学校マスタ!$U38&gt;=H$3),"▒","")))))</f>
        <v/>
      </c>
      <c r="I40" s="26">
        <f>IF(学校マスタ!$A38="","",IF(AND(学校マスタ!$U38&lt;&gt;"",学校マスタ!$U38&gt;=I$3,学校マスタ!$U38&lt;I$3+7),"◎",IF(OR(AND(学校マスタ!$H38&lt;&gt;"",学校マスタ!$H38&gt;=I$3,学校マスタ!$H38&lt;I$3+7),AND(学校マスタ!$J38&lt;&gt;"",学校マスタ!$J38&gt;=I$3,学校マスタ!$J38&lt;I$3+7),AND(学校マスタ!$L38&lt;&gt;"",学校マスタ!$L38&gt;=I$3,学校マスタ!$L38&lt;I$3+7)),"◆",IF(AND(学校マスタ!$O38&lt;&gt;"",学校マスタ!$P38&lt;&gt;"",学校マスタ!$O38&lt;I$3+7,学校マスタ!$P38&gt;=I$3),"█",IF(AND(学校マスタ!$R38&lt;&gt;"",学校マスタ!$U38&lt;&gt;"",学校マスタ!$R38&lt;I$3+7,学校マスタ!$U38&gt;=I$3),"▒","")))))</f>
        <v/>
      </c>
      <c r="J40" s="26">
        <f>IF(学校マスタ!$A38="","",IF(AND(学校マスタ!$U38&lt;&gt;"",学校マスタ!$U38&gt;=J$3,学校マスタ!$U38&lt;J$3+7),"◎",IF(OR(AND(学校マスタ!$H38&lt;&gt;"",学校マスタ!$H38&gt;=J$3,学校マスタ!$H38&lt;J$3+7),AND(学校マスタ!$J38&lt;&gt;"",学校マスタ!$J38&gt;=J$3,学校マスタ!$J38&lt;J$3+7),AND(学校マスタ!$L38&lt;&gt;"",学校マスタ!$L38&gt;=J$3,学校マスタ!$L38&lt;J$3+7)),"◆",IF(AND(学校マスタ!$O38&lt;&gt;"",学校マスタ!$P38&lt;&gt;"",学校マスタ!$O38&lt;J$3+7,学校マスタ!$P38&gt;=J$3),"█",IF(AND(学校マスタ!$R38&lt;&gt;"",学校マスタ!$U38&lt;&gt;"",学校マスタ!$R38&lt;J$3+7,学校マスタ!$U38&gt;=J$3),"▒","")))))</f>
        <v/>
      </c>
      <c r="K40" s="26">
        <f>IF(学校マスタ!$A38="","",IF(AND(学校マスタ!$U38&lt;&gt;"",学校マスタ!$U38&gt;=K$3,学校マスタ!$U38&lt;K$3+7),"◎",IF(OR(AND(学校マスタ!$H38&lt;&gt;"",学校マスタ!$H38&gt;=K$3,学校マスタ!$H38&lt;K$3+7),AND(学校マスタ!$J38&lt;&gt;"",学校マスタ!$J38&gt;=K$3,学校マスタ!$J38&lt;K$3+7),AND(学校マスタ!$L38&lt;&gt;"",学校マスタ!$L38&gt;=K$3,学校マスタ!$L38&lt;K$3+7)),"◆",IF(AND(学校マスタ!$O38&lt;&gt;"",学校マスタ!$P38&lt;&gt;"",学校マスタ!$O38&lt;K$3+7,学校マスタ!$P38&gt;=K$3),"█",IF(AND(学校マスタ!$R38&lt;&gt;"",学校マスタ!$U38&lt;&gt;"",学校マスタ!$R38&lt;K$3+7,学校マスタ!$U38&gt;=K$3),"▒","")))))</f>
        <v/>
      </c>
      <c r="L40" s="26">
        <f>IF(学校マスタ!$A38="","",IF(AND(学校マスタ!$U38&lt;&gt;"",学校マスタ!$U38&gt;=L$3,学校マスタ!$U38&lt;L$3+7),"◎",IF(OR(AND(学校マスタ!$H38&lt;&gt;"",学校マスタ!$H38&gt;=L$3,学校マスタ!$H38&lt;L$3+7),AND(学校マスタ!$J38&lt;&gt;"",学校マスタ!$J38&gt;=L$3,学校マスタ!$J38&lt;L$3+7),AND(学校マスタ!$L38&lt;&gt;"",学校マスタ!$L38&gt;=L$3,学校マスタ!$L38&lt;L$3+7)),"◆",IF(AND(学校マスタ!$O38&lt;&gt;"",学校マスタ!$P38&lt;&gt;"",学校マスタ!$O38&lt;L$3+7,学校マスタ!$P38&gt;=L$3),"█",IF(AND(学校マスタ!$R38&lt;&gt;"",学校マスタ!$U38&lt;&gt;"",学校マスタ!$R38&lt;L$3+7,学校マスタ!$U38&gt;=L$3),"▒","")))))</f>
        <v/>
      </c>
      <c r="M40" s="26">
        <f>IF(学校マスタ!$A38="","",IF(AND(学校マスタ!$U38&lt;&gt;"",学校マスタ!$U38&gt;=M$3,学校マスタ!$U38&lt;M$3+7),"◎",IF(OR(AND(学校マスタ!$H38&lt;&gt;"",学校マスタ!$H38&gt;=M$3,学校マスタ!$H38&lt;M$3+7),AND(学校マスタ!$J38&lt;&gt;"",学校マスタ!$J38&gt;=M$3,学校マスタ!$J38&lt;M$3+7),AND(学校マスタ!$L38&lt;&gt;"",学校マスタ!$L38&gt;=M$3,学校マスタ!$L38&lt;M$3+7)),"◆",IF(AND(学校マスタ!$O38&lt;&gt;"",学校マスタ!$P38&lt;&gt;"",学校マスタ!$O38&lt;M$3+7,学校マスタ!$P38&gt;=M$3),"█",IF(AND(学校マスタ!$R38&lt;&gt;"",学校マスタ!$U38&lt;&gt;"",学校マスタ!$R38&lt;M$3+7,学校マスタ!$U38&gt;=M$3),"▒","")))))</f>
        <v/>
      </c>
      <c r="N40" s="26">
        <f>IF(学校マスタ!$A38="","",IF(AND(学校マスタ!$U38&lt;&gt;"",学校マスタ!$U38&gt;=N$3,学校マスタ!$U38&lt;N$3+7),"◎",IF(OR(AND(学校マスタ!$H38&lt;&gt;"",学校マスタ!$H38&gt;=N$3,学校マスタ!$H38&lt;N$3+7),AND(学校マスタ!$J38&lt;&gt;"",学校マスタ!$J38&gt;=N$3,学校マスタ!$J38&lt;N$3+7),AND(学校マスタ!$L38&lt;&gt;"",学校マスタ!$L38&gt;=N$3,学校マスタ!$L38&lt;N$3+7)),"◆",IF(AND(学校マスタ!$O38&lt;&gt;"",学校マスタ!$P38&lt;&gt;"",学校マスタ!$O38&lt;N$3+7,学校マスタ!$P38&gt;=N$3),"█",IF(AND(学校マスタ!$R38&lt;&gt;"",学校マスタ!$U38&lt;&gt;"",学校マスタ!$R38&lt;N$3+7,学校マスタ!$U38&gt;=N$3),"▒","")))))</f>
        <v/>
      </c>
      <c r="O40" s="26">
        <f>IF(学校マスタ!$A38="","",IF(AND(学校マスタ!$U38&lt;&gt;"",学校マスタ!$U38&gt;=O$3,学校マスタ!$U38&lt;O$3+7),"◎",IF(OR(AND(学校マスタ!$H38&lt;&gt;"",学校マスタ!$H38&gt;=O$3,学校マスタ!$H38&lt;O$3+7),AND(学校マスタ!$J38&lt;&gt;"",学校マスタ!$J38&gt;=O$3,学校マスタ!$J38&lt;O$3+7),AND(学校マスタ!$L38&lt;&gt;"",学校マスタ!$L38&gt;=O$3,学校マスタ!$L38&lt;O$3+7)),"◆",IF(AND(学校マスタ!$O38&lt;&gt;"",学校マスタ!$P38&lt;&gt;"",学校マスタ!$O38&lt;O$3+7,学校マスタ!$P38&gt;=O$3),"█",IF(AND(学校マスタ!$R38&lt;&gt;"",学校マスタ!$U38&lt;&gt;"",学校マスタ!$R38&lt;O$3+7,学校マスタ!$U38&gt;=O$3),"▒","")))))</f>
        <v/>
      </c>
      <c r="P40" s="26">
        <f>IF(学校マスタ!$A38="","",IF(AND(学校マスタ!$U38&lt;&gt;"",学校マスタ!$U38&gt;=P$3,学校マスタ!$U38&lt;P$3+7),"◎",IF(OR(AND(学校マスタ!$H38&lt;&gt;"",学校マスタ!$H38&gt;=P$3,学校マスタ!$H38&lt;P$3+7),AND(学校マスタ!$J38&lt;&gt;"",学校マスタ!$J38&gt;=P$3,学校マスタ!$J38&lt;P$3+7),AND(学校マスタ!$L38&lt;&gt;"",学校マスタ!$L38&gt;=P$3,学校マスタ!$L38&lt;P$3+7)),"◆",IF(AND(学校マスタ!$O38&lt;&gt;"",学校マスタ!$P38&lt;&gt;"",学校マスタ!$O38&lt;P$3+7,学校マスタ!$P38&gt;=P$3),"█",IF(AND(学校マスタ!$R38&lt;&gt;"",学校マスタ!$U38&lt;&gt;"",学校マスタ!$R38&lt;P$3+7,学校マスタ!$U38&gt;=P$3),"▒","")))))</f>
        <v/>
      </c>
      <c r="Q40" s="26">
        <f>IF(学校マスタ!$A38="","",IF(AND(学校マスタ!$U38&lt;&gt;"",学校マスタ!$U38&gt;=Q$3,学校マスタ!$U38&lt;Q$3+7),"◎",IF(OR(AND(学校マスタ!$H38&lt;&gt;"",学校マスタ!$H38&gt;=Q$3,学校マスタ!$H38&lt;Q$3+7),AND(学校マスタ!$J38&lt;&gt;"",学校マスタ!$J38&gt;=Q$3,学校マスタ!$J38&lt;Q$3+7),AND(学校マスタ!$L38&lt;&gt;"",学校マスタ!$L38&gt;=Q$3,学校マスタ!$L38&lt;Q$3+7)),"◆",IF(AND(学校マスタ!$O38&lt;&gt;"",学校マスタ!$P38&lt;&gt;"",学校マスタ!$O38&lt;Q$3+7,学校マスタ!$P38&gt;=Q$3),"█",IF(AND(学校マスタ!$R38&lt;&gt;"",学校マスタ!$U38&lt;&gt;"",学校マスタ!$R38&lt;Q$3+7,学校マスタ!$U38&gt;=Q$3),"▒","")))))</f>
        <v/>
      </c>
      <c r="R40" s="26">
        <f>IF(学校マスタ!$A38="","",IF(AND(学校マスタ!$U38&lt;&gt;"",学校マスタ!$U38&gt;=R$3,学校マスタ!$U38&lt;R$3+7),"◎",IF(OR(AND(学校マスタ!$H38&lt;&gt;"",学校マスタ!$H38&gt;=R$3,学校マスタ!$H38&lt;R$3+7),AND(学校マスタ!$J38&lt;&gt;"",学校マスタ!$J38&gt;=R$3,学校マスタ!$J38&lt;R$3+7),AND(学校マスタ!$L38&lt;&gt;"",学校マスタ!$L38&gt;=R$3,学校マスタ!$L38&lt;R$3+7)),"◆",IF(AND(学校マスタ!$O38&lt;&gt;"",学校マスタ!$P38&lt;&gt;"",学校マスタ!$O38&lt;R$3+7,学校マスタ!$P38&gt;=R$3),"█",IF(AND(学校マスタ!$R38&lt;&gt;"",学校マスタ!$U38&lt;&gt;"",学校マスタ!$R38&lt;R$3+7,学校マスタ!$U38&gt;=R$3),"▒","")))))</f>
        <v/>
      </c>
      <c r="S40" s="26">
        <f>IF(学校マスタ!$A38="","",IF(AND(学校マスタ!$U38&lt;&gt;"",学校マスタ!$U38&gt;=S$3,学校マスタ!$U38&lt;S$3+7),"◎",IF(OR(AND(学校マスタ!$H38&lt;&gt;"",学校マスタ!$H38&gt;=S$3,学校マスタ!$H38&lt;S$3+7),AND(学校マスタ!$J38&lt;&gt;"",学校マスタ!$J38&gt;=S$3,学校マスタ!$J38&lt;S$3+7),AND(学校マスタ!$L38&lt;&gt;"",学校マスタ!$L38&gt;=S$3,学校マスタ!$L38&lt;S$3+7)),"◆",IF(AND(学校マスタ!$O38&lt;&gt;"",学校マスタ!$P38&lt;&gt;"",学校マスタ!$O38&lt;S$3+7,学校マスタ!$P38&gt;=S$3),"█",IF(AND(学校マスタ!$R38&lt;&gt;"",学校マスタ!$U38&lt;&gt;"",学校マスタ!$R38&lt;S$3+7,学校マスタ!$U38&gt;=S$3),"▒","")))))</f>
        <v/>
      </c>
      <c r="T40" s="26">
        <f>IF(学校マスタ!$A38="","",IF(AND(学校マスタ!$U38&lt;&gt;"",学校マスタ!$U38&gt;=T$3,学校マスタ!$U38&lt;T$3+7),"◎",IF(OR(AND(学校マスタ!$H38&lt;&gt;"",学校マスタ!$H38&gt;=T$3,学校マスタ!$H38&lt;T$3+7),AND(学校マスタ!$J38&lt;&gt;"",学校マスタ!$J38&gt;=T$3,学校マスタ!$J38&lt;T$3+7),AND(学校マスタ!$L38&lt;&gt;"",学校マスタ!$L38&gt;=T$3,学校マスタ!$L38&lt;T$3+7)),"◆",IF(AND(学校マスタ!$O38&lt;&gt;"",学校マスタ!$P38&lt;&gt;"",学校マスタ!$O38&lt;T$3+7,学校マスタ!$P38&gt;=T$3),"█",IF(AND(学校マスタ!$R38&lt;&gt;"",学校マスタ!$U38&lt;&gt;"",学校マスタ!$R38&lt;T$3+7,学校マスタ!$U38&gt;=T$3),"▒","")))))</f>
        <v/>
      </c>
      <c r="U40" s="26">
        <f>IF(学校マスタ!$A38="","",IF(AND(学校マスタ!$U38&lt;&gt;"",学校マスタ!$U38&gt;=U$3,学校マスタ!$U38&lt;U$3+7),"◎",IF(OR(AND(学校マスタ!$H38&lt;&gt;"",学校マスタ!$H38&gt;=U$3,学校マスタ!$H38&lt;U$3+7),AND(学校マスタ!$J38&lt;&gt;"",学校マスタ!$J38&gt;=U$3,学校マスタ!$J38&lt;U$3+7),AND(学校マスタ!$L38&lt;&gt;"",学校マスタ!$L38&gt;=U$3,学校マスタ!$L38&lt;U$3+7)),"◆",IF(AND(学校マスタ!$O38&lt;&gt;"",学校マスタ!$P38&lt;&gt;"",学校マスタ!$O38&lt;U$3+7,学校マスタ!$P38&gt;=U$3),"█",IF(AND(学校マスタ!$R38&lt;&gt;"",学校マスタ!$U38&lt;&gt;"",学校マスタ!$R38&lt;U$3+7,学校マスタ!$U38&gt;=U$3),"▒","")))))</f>
        <v/>
      </c>
      <c r="V40" s="26">
        <f>IF(学校マスタ!$A38="","",IF(AND(学校マスタ!$U38&lt;&gt;"",学校マスタ!$U38&gt;=V$3,学校マスタ!$U38&lt;V$3+7),"◎",IF(OR(AND(学校マスタ!$H38&lt;&gt;"",学校マスタ!$H38&gt;=V$3,学校マスタ!$H38&lt;V$3+7),AND(学校マスタ!$J38&lt;&gt;"",学校マスタ!$J38&gt;=V$3,学校マスタ!$J38&lt;V$3+7),AND(学校マスタ!$L38&lt;&gt;"",学校マスタ!$L38&gt;=V$3,学校マスタ!$L38&lt;V$3+7)),"◆",IF(AND(学校マスタ!$O38&lt;&gt;"",学校マスタ!$P38&lt;&gt;"",学校マスタ!$O38&lt;V$3+7,学校マスタ!$P38&gt;=V$3),"█",IF(AND(学校マスタ!$R38&lt;&gt;"",学校マスタ!$U38&lt;&gt;"",学校マスタ!$R38&lt;V$3+7,学校マスタ!$U38&gt;=V$3),"▒","")))))</f>
        <v/>
      </c>
      <c r="W40" s="26">
        <f>IF(学校マスタ!$A38="","",IF(AND(学校マスタ!$U38&lt;&gt;"",学校マスタ!$U38&gt;=W$3,学校マスタ!$U38&lt;W$3+7),"◎",IF(OR(AND(学校マスタ!$H38&lt;&gt;"",学校マスタ!$H38&gt;=W$3,学校マスタ!$H38&lt;W$3+7),AND(学校マスタ!$J38&lt;&gt;"",学校マスタ!$J38&gt;=W$3,学校マスタ!$J38&lt;W$3+7),AND(学校マスタ!$L38&lt;&gt;"",学校マスタ!$L38&gt;=W$3,学校マスタ!$L38&lt;W$3+7)),"◆",IF(AND(学校マスタ!$O38&lt;&gt;"",学校マスタ!$P38&lt;&gt;"",学校マスタ!$O38&lt;W$3+7,学校マスタ!$P38&gt;=W$3),"█",IF(AND(学校マスタ!$R38&lt;&gt;"",学校マスタ!$U38&lt;&gt;"",学校マスタ!$R38&lt;W$3+7,学校マスタ!$U38&gt;=W$3),"▒","")))))</f>
        <v/>
      </c>
      <c r="X40" s="26">
        <f>IF(学校マスタ!$A38="","",IF(AND(学校マスタ!$U38&lt;&gt;"",学校マスタ!$U38&gt;=X$3,学校マスタ!$U38&lt;X$3+7),"◎",IF(OR(AND(学校マスタ!$H38&lt;&gt;"",学校マスタ!$H38&gt;=X$3,学校マスタ!$H38&lt;X$3+7),AND(学校マスタ!$J38&lt;&gt;"",学校マスタ!$J38&gt;=X$3,学校マスタ!$J38&lt;X$3+7),AND(学校マスタ!$L38&lt;&gt;"",学校マスタ!$L38&gt;=X$3,学校マスタ!$L38&lt;X$3+7)),"◆",IF(AND(学校マスタ!$O38&lt;&gt;"",学校マスタ!$P38&lt;&gt;"",学校マスタ!$O38&lt;X$3+7,学校マスタ!$P38&gt;=X$3),"█",IF(AND(学校マスタ!$R38&lt;&gt;"",学校マスタ!$U38&lt;&gt;"",学校マスタ!$R38&lt;X$3+7,学校マスタ!$U38&gt;=X$3),"▒","")))))</f>
        <v/>
      </c>
      <c r="Y40" s="26">
        <f>IF(学校マスタ!$A38="","",IF(AND(学校マスタ!$U38&lt;&gt;"",学校マスタ!$U38&gt;=Y$3,学校マスタ!$U38&lt;Y$3+7),"◎",IF(OR(AND(学校マスタ!$H38&lt;&gt;"",学校マスタ!$H38&gt;=Y$3,学校マスタ!$H38&lt;Y$3+7),AND(学校マスタ!$J38&lt;&gt;"",学校マスタ!$J38&gt;=Y$3,学校マスタ!$J38&lt;Y$3+7),AND(学校マスタ!$L38&lt;&gt;"",学校マスタ!$L38&gt;=Y$3,学校マスタ!$L38&lt;Y$3+7)),"◆",IF(AND(学校マスタ!$O38&lt;&gt;"",学校マスタ!$P38&lt;&gt;"",学校マスタ!$O38&lt;Y$3+7,学校マスタ!$P38&gt;=Y$3),"█",IF(AND(学校マスタ!$R38&lt;&gt;"",学校マスタ!$U38&lt;&gt;"",学校マスタ!$R38&lt;Y$3+7,学校マスタ!$U38&gt;=Y$3),"▒","")))))</f>
        <v/>
      </c>
      <c r="Z40" s="26">
        <f>IF(学校マスタ!$A38="","",IF(AND(学校マスタ!$U38&lt;&gt;"",学校マスタ!$U38&gt;=Z$3,学校マスタ!$U38&lt;Z$3+7),"◎",IF(OR(AND(学校マスタ!$H38&lt;&gt;"",学校マスタ!$H38&gt;=Z$3,学校マスタ!$H38&lt;Z$3+7),AND(学校マスタ!$J38&lt;&gt;"",学校マスタ!$J38&gt;=Z$3,学校マスタ!$J38&lt;Z$3+7),AND(学校マスタ!$L38&lt;&gt;"",学校マスタ!$L38&gt;=Z$3,学校マスタ!$L38&lt;Z$3+7)),"◆",IF(AND(学校マスタ!$O38&lt;&gt;"",学校マスタ!$P38&lt;&gt;"",学校マスタ!$O38&lt;Z$3+7,学校マスタ!$P38&gt;=Z$3),"█",IF(AND(学校マスタ!$R38&lt;&gt;"",学校マスタ!$U38&lt;&gt;"",学校マスタ!$R38&lt;Z$3+7,学校マスタ!$U38&gt;=Z$3),"▒","")))))</f>
        <v/>
      </c>
      <c r="AA40" s="26">
        <f>IF(学校マスタ!$A38="","",IF(AND(学校マスタ!$U38&lt;&gt;"",学校マスタ!$U38&gt;=AA$3,学校マスタ!$U38&lt;AA$3+7),"◎",IF(OR(AND(学校マスタ!$H38&lt;&gt;"",学校マスタ!$H38&gt;=AA$3,学校マスタ!$H38&lt;AA$3+7),AND(学校マスタ!$J38&lt;&gt;"",学校マスタ!$J38&gt;=AA$3,学校マスタ!$J38&lt;AA$3+7),AND(学校マスタ!$L38&lt;&gt;"",学校マスタ!$L38&gt;=AA$3,学校マスタ!$L38&lt;AA$3+7)),"◆",IF(AND(学校マスタ!$O38&lt;&gt;"",学校マスタ!$P38&lt;&gt;"",学校マスタ!$O38&lt;AA$3+7,学校マスタ!$P38&gt;=AA$3),"█",IF(AND(学校マスタ!$R38&lt;&gt;"",学校マスタ!$U38&lt;&gt;"",学校マスタ!$R38&lt;AA$3+7,学校マスタ!$U38&gt;=AA$3),"▒","")))))</f>
        <v/>
      </c>
      <c r="AB40" s="26">
        <f>IF(学校マスタ!$A38="","",IF(AND(学校マスタ!$U38&lt;&gt;"",学校マスタ!$U38&gt;=AB$3,学校マスタ!$U38&lt;AB$3+7),"◎",IF(OR(AND(学校マスタ!$H38&lt;&gt;"",学校マスタ!$H38&gt;=AB$3,学校マスタ!$H38&lt;AB$3+7),AND(学校マスタ!$J38&lt;&gt;"",学校マスタ!$J38&gt;=AB$3,学校マスタ!$J38&lt;AB$3+7),AND(学校マスタ!$L38&lt;&gt;"",学校マスタ!$L38&gt;=AB$3,学校マスタ!$L38&lt;AB$3+7)),"◆",IF(AND(学校マスタ!$O38&lt;&gt;"",学校マスタ!$P38&lt;&gt;"",学校マスタ!$O38&lt;AB$3+7,学校マスタ!$P38&gt;=AB$3),"█",IF(AND(学校マスタ!$R38&lt;&gt;"",学校マスタ!$U38&lt;&gt;"",学校マスタ!$R38&lt;AB$3+7,学校マスタ!$U38&gt;=AB$3),"▒","")))))</f>
        <v/>
      </c>
    </row>
    <row r="41">
      <c r="A41" s="19">
        <f>IF(学校マスタ!$A39="","",学校マスタ!$A39)</f>
        <v/>
      </c>
      <c r="B41" s="19">
        <f>IF(学校マスタ!$A39="","",学校マスタ!$C39)</f>
        <v/>
      </c>
      <c r="C41" s="19">
        <f>IF(学校マスタ!$A39="","",学校マスタ!$X39)</f>
        <v/>
      </c>
      <c r="D41" s="25">
        <f>IF(学校マスタ!$A39="","",学校マスタ!$R39)</f>
        <v/>
      </c>
      <c r="E41" s="26">
        <f>IF(学校マスタ!$A39="","",IF(AND(学校マスタ!$U39&lt;&gt;"",学校マスタ!$U39&gt;=E$3,学校マスタ!$U39&lt;E$3+7),"◎",IF(OR(AND(学校マスタ!$H39&lt;&gt;"",学校マスタ!$H39&gt;=E$3,学校マスタ!$H39&lt;E$3+7),AND(学校マスタ!$J39&lt;&gt;"",学校マスタ!$J39&gt;=E$3,学校マスタ!$J39&lt;E$3+7),AND(学校マスタ!$L39&lt;&gt;"",学校マスタ!$L39&gt;=E$3,学校マスタ!$L39&lt;E$3+7)),"◆",IF(AND(学校マスタ!$O39&lt;&gt;"",学校マスタ!$P39&lt;&gt;"",学校マスタ!$O39&lt;E$3+7,学校マスタ!$P39&gt;=E$3),"█",IF(AND(学校マスタ!$R39&lt;&gt;"",学校マスタ!$U39&lt;&gt;"",学校マスタ!$R39&lt;E$3+7,学校マスタ!$U39&gt;=E$3),"▒","")))))</f>
        <v/>
      </c>
      <c r="F41" s="26">
        <f>IF(学校マスタ!$A39="","",IF(AND(学校マスタ!$U39&lt;&gt;"",学校マスタ!$U39&gt;=F$3,学校マスタ!$U39&lt;F$3+7),"◎",IF(OR(AND(学校マスタ!$H39&lt;&gt;"",学校マスタ!$H39&gt;=F$3,学校マスタ!$H39&lt;F$3+7),AND(学校マスタ!$J39&lt;&gt;"",学校マスタ!$J39&gt;=F$3,学校マスタ!$J39&lt;F$3+7),AND(学校マスタ!$L39&lt;&gt;"",学校マスタ!$L39&gt;=F$3,学校マスタ!$L39&lt;F$3+7)),"◆",IF(AND(学校マスタ!$O39&lt;&gt;"",学校マスタ!$P39&lt;&gt;"",学校マスタ!$O39&lt;F$3+7,学校マスタ!$P39&gt;=F$3),"█",IF(AND(学校マスタ!$R39&lt;&gt;"",学校マスタ!$U39&lt;&gt;"",学校マスタ!$R39&lt;F$3+7,学校マスタ!$U39&gt;=F$3),"▒","")))))</f>
        <v/>
      </c>
      <c r="G41" s="26">
        <f>IF(学校マスタ!$A39="","",IF(AND(学校マスタ!$U39&lt;&gt;"",学校マスタ!$U39&gt;=G$3,学校マスタ!$U39&lt;G$3+7),"◎",IF(OR(AND(学校マスタ!$H39&lt;&gt;"",学校マスタ!$H39&gt;=G$3,学校マスタ!$H39&lt;G$3+7),AND(学校マスタ!$J39&lt;&gt;"",学校マスタ!$J39&gt;=G$3,学校マスタ!$J39&lt;G$3+7),AND(学校マスタ!$L39&lt;&gt;"",学校マスタ!$L39&gt;=G$3,学校マスタ!$L39&lt;G$3+7)),"◆",IF(AND(学校マスタ!$O39&lt;&gt;"",学校マスタ!$P39&lt;&gt;"",学校マスタ!$O39&lt;G$3+7,学校マスタ!$P39&gt;=G$3),"█",IF(AND(学校マスタ!$R39&lt;&gt;"",学校マスタ!$U39&lt;&gt;"",学校マスタ!$R39&lt;G$3+7,学校マスタ!$U39&gt;=G$3),"▒","")))))</f>
        <v/>
      </c>
      <c r="H41" s="26">
        <f>IF(学校マスタ!$A39="","",IF(AND(学校マスタ!$U39&lt;&gt;"",学校マスタ!$U39&gt;=H$3,学校マスタ!$U39&lt;H$3+7),"◎",IF(OR(AND(学校マスタ!$H39&lt;&gt;"",学校マスタ!$H39&gt;=H$3,学校マスタ!$H39&lt;H$3+7),AND(学校マスタ!$J39&lt;&gt;"",学校マスタ!$J39&gt;=H$3,学校マスタ!$J39&lt;H$3+7),AND(学校マスタ!$L39&lt;&gt;"",学校マスタ!$L39&gt;=H$3,学校マスタ!$L39&lt;H$3+7)),"◆",IF(AND(学校マスタ!$O39&lt;&gt;"",学校マスタ!$P39&lt;&gt;"",学校マスタ!$O39&lt;H$3+7,学校マスタ!$P39&gt;=H$3),"█",IF(AND(学校マスタ!$R39&lt;&gt;"",学校マスタ!$U39&lt;&gt;"",学校マスタ!$R39&lt;H$3+7,学校マスタ!$U39&gt;=H$3),"▒","")))))</f>
        <v/>
      </c>
      <c r="I41" s="26">
        <f>IF(学校マスタ!$A39="","",IF(AND(学校マスタ!$U39&lt;&gt;"",学校マスタ!$U39&gt;=I$3,学校マスタ!$U39&lt;I$3+7),"◎",IF(OR(AND(学校マスタ!$H39&lt;&gt;"",学校マスタ!$H39&gt;=I$3,学校マスタ!$H39&lt;I$3+7),AND(学校マスタ!$J39&lt;&gt;"",学校マスタ!$J39&gt;=I$3,学校マスタ!$J39&lt;I$3+7),AND(学校マスタ!$L39&lt;&gt;"",学校マスタ!$L39&gt;=I$3,学校マスタ!$L39&lt;I$3+7)),"◆",IF(AND(学校マスタ!$O39&lt;&gt;"",学校マスタ!$P39&lt;&gt;"",学校マスタ!$O39&lt;I$3+7,学校マスタ!$P39&gt;=I$3),"█",IF(AND(学校マスタ!$R39&lt;&gt;"",学校マスタ!$U39&lt;&gt;"",学校マスタ!$R39&lt;I$3+7,学校マスタ!$U39&gt;=I$3),"▒","")))))</f>
        <v/>
      </c>
      <c r="J41" s="26">
        <f>IF(学校マスタ!$A39="","",IF(AND(学校マスタ!$U39&lt;&gt;"",学校マスタ!$U39&gt;=J$3,学校マスタ!$U39&lt;J$3+7),"◎",IF(OR(AND(学校マスタ!$H39&lt;&gt;"",学校マスタ!$H39&gt;=J$3,学校マスタ!$H39&lt;J$3+7),AND(学校マスタ!$J39&lt;&gt;"",学校マスタ!$J39&gt;=J$3,学校マスタ!$J39&lt;J$3+7),AND(学校マスタ!$L39&lt;&gt;"",学校マスタ!$L39&gt;=J$3,学校マスタ!$L39&lt;J$3+7)),"◆",IF(AND(学校マスタ!$O39&lt;&gt;"",学校マスタ!$P39&lt;&gt;"",学校マスタ!$O39&lt;J$3+7,学校マスタ!$P39&gt;=J$3),"█",IF(AND(学校マスタ!$R39&lt;&gt;"",学校マスタ!$U39&lt;&gt;"",学校マスタ!$R39&lt;J$3+7,学校マスタ!$U39&gt;=J$3),"▒","")))))</f>
        <v/>
      </c>
      <c r="K41" s="26">
        <f>IF(学校マスタ!$A39="","",IF(AND(学校マスタ!$U39&lt;&gt;"",学校マスタ!$U39&gt;=K$3,学校マスタ!$U39&lt;K$3+7),"◎",IF(OR(AND(学校マスタ!$H39&lt;&gt;"",学校マスタ!$H39&gt;=K$3,学校マスタ!$H39&lt;K$3+7),AND(学校マスタ!$J39&lt;&gt;"",学校マスタ!$J39&gt;=K$3,学校マスタ!$J39&lt;K$3+7),AND(学校マスタ!$L39&lt;&gt;"",学校マスタ!$L39&gt;=K$3,学校マスタ!$L39&lt;K$3+7)),"◆",IF(AND(学校マスタ!$O39&lt;&gt;"",学校マスタ!$P39&lt;&gt;"",学校マスタ!$O39&lt;K$3+7,学校マスタ!$P39&gt;=K$3),"█",IF(AND(学校マスタ!$R39&lt;&gt;"",学校マスタ!$U39&lt;&gt;"",学校マスタ!$R39&lt;K$3+7,学校マスタ!$U39&gt;=K$3),"▒","")))))</f>
        <v/>
      </c>
      <c r="L41" s="26">
        <f>IF(学校マスタ!$A39="","",IF(AND(学校マスタ!$U39&lt;&gt;"",学校マスタ!$U39&gt;=L$3,学校マスタ!$U39&lt;L$3+7),"◎",IF(OR(AND(学校マスタ!$H39&lt;&gt;"",学校マスタ!$H39&gt;=L$3,学校マスタ!$H39&lt;L$3+7),AND(学校マスタ!$J39&lt;&gt;"",学校マスタ!$J39&gt;=L$3,学校マスタ!$J39&lt;L$3+7),AND(学校マスタ!$L39&lt;&gt;"",学校マスタ!$L39&gt;=L$3,学校マスタ!$L39&lt;L$3+7)),"◆",IF(AND(学校マスタ!$O39&lt;&gt;"",学校マスタ!$P39&lt;&gt;"",学校マスタ!$O39&lt;L$3+7,学校マスタ!$P39&gt;=L$3),"█",IF(AND(学校マスタ!$R39&lt;&gt;"",学校マスタ!$U39&lt;&gt;"",学校マスタ!$R39&lt;L$3+7,学校マスタ!$U39&gt;=L$3),"▒","")))))</f>
        <v/>
      </c>
      <c r="M41" s="26">
        <f>IF(学校マスタ!$A39="","",IF(AND(学校マスタ!$U39&lt;&gt;"",学校マスタ!$U39&gt;=M$3,学校マスタ!$U39&lt;M$3+7),"◎",IF(OR(AND(学校マスタ!$H39&lt;&gt;"",学校マスタ!$H39&gt;=M$3,学校マスタ!$H39&lt;M$3+7),AND(学校マスタ!$J39&lt;&gt;"",学校マスタ!$J39&gt;=M$3,学校マスタ!$J39&lt;M$3+7),AND(学校マスタ!$L39&lt;&gt;"",学校マスタ!$L39&gt;=M$3,学校マスタ!$L39&lt;M$3+7)),"◆",IF(AND(学校マスタ!$O39&lt;&gt;"",学校マスタ!$P39&lt;&gt;"",学校マスタ!$O39&lt;M$3+7,学校マスタ!$P39&gt;=M$3),"█",IF(AND(学校マスタ!$R39&lt;&gt;"",学校マスタ!$U39&lt;&gt;"",学校マスタ!$R39&lt;M$3+7,学校マスタ!$U39&gt;=M$3),"▒","")))))</f>
        <v/>
      </c>
      <c r="N41" s="26">
        <f>IF(学校マスタ!$A39="","",IF(AND(学校マスタ!$U39&lt;&gt;"",学校マスタ!$U39&gt;=N$3,学校マスタ!$U39&lt;N$3+7),"◎",IF(OR(AND(学校マスタ!$H39&lt;&gt;"",学校マスタ!$H39&gt;=N$3,学校マスタ!$H39&lt;N$3+7),AND(学校マスタ!$J39&lt;&gt;"",学校マスタ!$J39&gt;=N$3,学校マスタ!$J39&lt;N$3+7),AND(学校マスタ!$L39&lt;&gt;"",学校マスタ!$L39&gt;=N$3,学校マスタ!$L39&lt;N$3+7)),"◆",IF(AND(学校マスタ!$O39&lt;&gt;"",学校マスタ!$P39&lt;&gt;"",学校マスタ!$O39&lt;N$3+7,学校マスタ!$P39&gt;=N$3),"█",IF(AND(学校マスタ!$R39&lt;&gt;"",学校マスタ!$U39&lt;&gt;"",学校マスタ!$R39&lt;N$3+7,学校マスタ!$U39&gt;=N$3),"▒","")))))</f>
        <v/>
      </c>
      <c r="O41" s="26">
        <f>IF(学校マスタ!$A39="","",IF(AND(学校マスタ!$U39&lt;&gt;"",学校マスタ!$U39&gt;=O$3,学校マスタ!$U39&lt;O$3+7),"◎",IF(OR(AND(学校マスタ!$H39&lt;&gt;"",学校マスタ!$H39&gt;=O$3,学校マスタ!$H39&lt;O$3+7),AND(学校マスタ!$J39&lt;&gt;"",学校マスタ!$J39&gt;=O$3,学校マスタ!$J39&lt;O$3+7),AND(学校マスタ!$L39&lt;&gt;"",学校マスタ!$L39&gt;=O$3,学校マスタ!$L39&lt;O$3+7)),"◆",IF(AND(学校マスタ!$O39&lt;&gt;"",学校マスタ!$P39&lt;&gt;"",学校マスタ!$O39&lt;O$3+7,学校マスタ!$P39&gt;=O$3),"█",IF(AND(学校マスタ!$R39&lt;&gt;"",学校マスタ!$U39&lt;&gt;"",学校マスタ!$R39&lt;O$3+7,学校マスタ!$U39&gt;=O$3),"▒","")))))</f>
        <v/>
      </c>
      <c r="P41" s="26">
        <f>IF(学校マスタ!$A39="","",IF(AND(学校マスタ!$U39&lt;&gt;"",学校マスタ!$U39&gt;=P$3,学校マスタ!$U39&lt;P$3+7),"◎",IF(OR(AND(学校マスタ!$H39&lt;&gt;"",学校マスタ!$H39&gt;=P$3,学校マスタ!$H39&lt;P$3+7),AND(学校マスタ!$J39&lt;&gt;"",学校マスタ!$J39&gt;=P$3,学校マスタ!$J39&lt;P$3+7),AND(学校マスタ!$L39&lt;&gt;"",学校マスタ!$L39&gt;=P$3,学校マスタ!$L39&lt;P$3+7)),"◆",IF(AND(学校マスタ!$O39&lt;&gt;"",学校マスタ!$P39&lt;&gt;"",学校マスタ!$O39&lt;P$3+7,学校マスタ!$P39&gt;=P$3),"█",IF(AND(学校マスタ!$R39&lt;&gt;"",学校マスタ!$U39&lt;&gt;"",学校マスタ!$R39&lt;P$3+7,学校マスタ!$U39&gt;=P$3),"▒","")))))</f>
        <v/>
      </c>
      <c r="Q41" s="26">
        <f>IF(学校マスタ!$A39="","",IF(AND(学校マスタ!$U39&lt;&gt;"",学校マスタ!$U39&gt;=Q$3,学校マスタ!$U39&lt;Q$3+7),"◎",IF(OR(AND(学校マスタ!$H39&lt;&gt;"",学校マスタ!$H39&gt;=Q$3,学校マスタ!$H39&lt;Q$3+7),AND(学校マスタ!$J39&lt;&gt;"",学校マスタ!$J39&gt;=Q$3,学校マスタ!$J39&lt;Q$3+7),AND(学校マスタ!$L39&lt;&gt;"",学校マスタ!$L39&gt;=Q$3,学校マスタ!$L39&lt;Q$3+7)),"◆",IF(AND(学校マスタ!$O39&lt;&gt;"",学校マスタ!$P39&lt;&gt;"",学校マスタ!$O39&lt;Q$3+7,学校マスタ!$P39&gt;=Q$3),"█",IF(AND(学校マスタ!$R39&lt;&gt;"",学校マスタ!$U39&lt;&gt;"",学校マスタ!$R39&lt;Q$3+7,学校マスタ!$U39&gt;=Q$3),"▒","")))))</f>
        <v/>
      </c>
      <c r="R41" s="26">
        <f>IF(学校マスタ!$A39="","",IF(AND(学校マスタ!$U39&lt;&gt;"",学校マスタ!$U39&gt;=R$3,学校マスタ!$U39&lt;R$3+7),"◎",IF(OR(AND(学校マスタ!$H39&lt;&gt;"",学校マスタ!$H39&gt;=R$3,学校マスタ!$H39&lt;R$3+7),AND(学校マスタ!$J39&lt;&gt;"",学校マスタ!$J39&gt;=R$3,学校マスタ!$J39&lt;R$3+7),AND(学校マスタ!$L39&lt;&gt;"",学校マスタ!$L39&gt;=R$3,学校マスタ!$L39&lt;R$3+7)),"◆",IF(AND(学校マスタ!$O39&lt;&gt;"",学校マスタ!$P39&lt;&gt;"",学校マスタ!$O39&lt;R$3+7,学校マスタ!$P39&gt;=R$3),"█",IF(AND(学校マスタ!$R39&lt;&gt;"",学校マスタ!$U39&lt;&gt;"",学校マスタ!$R39&lt;R$3+7,学校マスタ!$U39&gt;=R$3),"▒","")))))</f>
        <v/>
      </c>
      <c r="S41" s="26">
        <f>IF(学校マスタ!$A39="","",IF(AND(学校マスタ!$U39&lt;&gt;"",学校マスタ!$U39&gt;=S$3,学校マスタ!$U39&lt;S$3+7),"◎",IF(OR(AND(学校マスタ!$H39&lt;&gt;"",学校マスタ!$H39&gt;=S$3,学校マスタ!$H39&lt;S$3+7),AND(学校マスタ!$J39&lt;&gt;"",学校マスタ!$J39&gt;=S$3,学校マスタ!$J39&lt;S$3+7),AND(学校マスタ!$L39&lt;&gt;"",学校マスタ!$L39&gt;=S$3,学校マスタ!$L39&lt;S$3+7)),"◆",IF(AND(学校マスタ!$O39&lt;&gt;"",学校マスタ!$P39&lt;&gt;"",学校マスタ!$O39&lt;S$3+7,学校マスタ!$P39&gt;=S$3),"█",IF(AND(学校マスタ!$R39&lt;&gt;"",学校マスタ!$U39&lt;&gt;"",学校マスタ!$R39&lt;S$3+7,学校マスタ!$U39&gt;=S$3),"▒","")))))</f>
        <v/>
      </c>
      <c r="T41" s="26">
        <f>IF(学校マスタ!$A39="","",IF(AND(学校マスタ!$U39&lt;&gt;"",学校マスタ!$U39&gt;=T$3,学校マスタ!$U39&lt;T$3+7),"◎",IF(OR(AND(学校マスタ!$H39&lt;&gt;"",学校マスタ!$H39&gt;=T$3,学校マスタ!$H39&lt;T$3+7),AND(学校マスタ!$J39&lt;&gt;"",学校マスタ!$J39&gt;=T$3,学校マスタ!$J39&lt;T$3+7),AND(学校マスタ!$L39&lt;&gt;"",学校マスタ!$L39&gt;=T$3,学校マスタ!$L39&lt;T$3+7)),"◆",IF(AND(学校マスタ!$O39&lt;&gt;"",学校マスタ!$P39&lt;&gt;"",学校マスタ!$O39&lt;T$3+7,学校マスタ!$P39&gt;=T$3),"█",IF(AND(学校マスタ!$R39&lt;&gt;"",学校マスタ!$U39&lt;&gt;"",学校マスタ!$R39&lt;T$3+7,学校マスタ!$U39&gt;=T$3),"▒","")))))</f>
        <v/>
      </c>
      <c r="U41" s="26">
        <f>IF(学校マスタ!$A39="","",IF(AND(学校マスタ!$U39&lt;&gt;"",学校マスタ!$U39&gt;=U$3,学校マスタ!$U39&lt;U$3+7),"◎",IF(OR(AND(学校マスタ!$H39&lt;&gt;"",学校マスタ!$H39&gt;=U$3,学校マスタ!$H39&lt;U$3+7),AND(学校マスタ!$J39&lt;&gt;"",学校マスタ!$J39&gt;=U$3,学校マスタ!$J39&lt;U$3+7),AND(学校マスタ!$L39&lt;&gt;"",学校マスタ!$L39&gt;=U$3,学校マスタ!$L39&lt;U$3+7)),"◆",IF(AND(学校マスタ!$O39&lt;&gt;"",学校マスタ!$P39&lt;&gt;"",学校マスタ!$O39&lt;U$3+7,学校マスタ!$P39&gt;=U$3),"█",IF(AND(学校マスタ!$R39&lt;&gt;"",学校マスタ!$U39&lt;&gt;"",学校マスタ!$R39&lt;U$3+7,学校マスタ!$U39&gt;=U$3),"▒","")))))</f>
        <v/>
      </c>
      <c r="V41" s="26">
        <f>IF(学校マスタ!$A39="","",IF(AND(学校マスタ!$U39&lt;&gt;"",学校マスタ!$U39&gt;=V$3,学校マスタ!$U39&lt;V$3+7),"◎",IF(OR(AND(学校マスタ!$H39&lt;&gt;"",学校マスタ!$H39&gt;=V$3,学校マスタ!$H39&lt;V$3+7),AND(学校マスタ!$J39&lt;&gt;"",学校マスタ!$J39&gt;=V$3,学校マスタ!$J39&lt;V$3+7),AND(学校マスタ!$L39&lt;&gt;"",学校マスタ!$L39&gt;=V$3,学校マスタ!$L39&lt;V$3+7)),"◆",IF(AND(学校マスタ!$O39&lt;&gt;"",学校マスタ!$P39&lt;&gt;"",学校マスタ!$O39&lt;V$3+7,学校マスタ!$P39&gt;=V$3),"█",IF(AND(学校マスタ!$R39&lt;&gt;"",学校マスタ!$U39&lt;&gt;"",学校マスタ!$R39&lt;V$3+7,学校マスタ!$U39&gt;=V$3),"▒","")))))</f>
        <v/>
      </c>
      <c r="W41" s="26">
        <f>IF(学校マスタ!$A39="","",IF(AND(学校マスタ!$U39&lt;&gt;"",学校マスタ!$U39&gt;=W$3,学校マスタ!$U39&lt;W$3+7),"◎",IF(OR(AND(学校マスタ!$H39&lt;&gt;"",学校マスタ!$H39&gt;=W$3,学校マスタ!$H39&lt;W$3+7),AND(学校マスタ!$J39&lt;&gt;"",学校マスタ!$J39&gt;=W$3,学校マスタ!$J39&lt;W$3+7),AND(学校マスタ!$L39&lt;&gt;"",学校マスタ!$L39&gt;=W$3,学校マスタ!$L39&lt;W$3+7)),"◆",IF(AND(学校マスタ!$O39&lt;&gt;"",学校マスタ!$P39&lt;&gt;"",学校マスタ!$O39&lt;W$3+7,学校マスタ!$P39&gt;=W$3),"█",IF(AND(学校マスタ!$R39&lt;&gt;"",学校マスタ!$U39&lt;&gt;"",学校マスタ!$R39&lt;W$3+7,学校マスタ!$U39&gt;=W$3),"▒","")))))</f>
        <v/>
      </c>
      <c r="X41" s="26">
        <f>IF(学校マスタ!$A39="","",IF(AND(学校マスタ!$U39&lt;&gt;"",学校マスタ!$U39&gt;=X$3,学校マスタ!$U39&lt;X$3+7),"◎",IF(OR(AND(学校マスタ!$H39&lt;&gt;"",学校マスタ!$H39&gt;=X$3,学校マスタ!$H39&lt;X$3+7),AND(学校マスタ!$J39&lt;&gt;"",学校マスタ!$J39&gt;=X$3,学校マスタ!$J39&lt;X$3+7),AND(学校マスタ!$L39&lt;&gt;"",学校マスタ!$L39&gt;=X$3,学校マスタ!$L39&lt;X$3+7)),"◆",IF(AND(学校マスタ!$O39&lt;&gt;"",学校マスタ!$P39&lt;&gt;"",学校マスタ!$O39&lt;X$3+7,学校マスタ!$P39&gt;=X$3),"█",IF(AND(学校マスタ!$R39&lt;&gt;"",学校マスタ!$U39&lt;&gt;"",学校マスタ!$R39&lt;X$3+7,学校マスタ!$U39&gt;=X$3),"▒","")))))</f>
        <v/>
      </c>
      <c r="Y41" s="26">
        <f>IF(学校マスタ!$A39="","",IF(AND(学校マスタ!$U39&lt;&gt;"",学校マスタ!$U39&gt;=Y$3,学校マスタ!$U39&lt;Y$3+7),"◎",IF(OR(AND(学校マスタ!$H39&lt;&gt;"",学校マスタ!$H39&gt;=Y$3,学校マスタ!$H39&lt;Y$3+7),AND(学校マスタ!$J39&lt;&gt;"",学校マスタ!$J39&gt;=Y$3,学校マスタ!$J39&lt;Y$3+7),AND(学校マスタ!$L39&lt;&gt;"",学校マスタ!$L39&gt;=Y$3,学校マスタ!$L39&lt;Y$3+7)),"◆",IF(AND(学校マスタ!$O39&lt;&gt;"",学校マスタ!$P39&lt;&gt;"",学校マスタ!$O39&lt;Y$3+7,学校マスタ!$P39&gt;=Y$3),"█",IF(AND(学校マスタ!$R39&lt;&gt;"",学校マスタ!$U39&lt;&gt;"",学校マスタ!$R39&lt;Y$3+7,学校マスタ!$U39&gt;=Y$3),"▒","")))))</f>
        <v/>
      </c>
      <c r="Z41" s="26">
        <f>IF(学校マスタ!$A39="","",IF(AND(学校マスタ!$U39&lt;&gt;"",学校マスタ!$U39&gt;=Z$3,学校マスタ!$U39&lt;Z$3+7),"◎",IF(OR(AND(学校マスタ!$H39&lt;&gt;"",学校マスタ!$H39&gt;=Z$3,学校マスタ!$H39&lt;Z$3+7),AND(学校マスタ!$J39&lt;&gt;"",学校マスタ!$J39&gt;=Z$3,学校マスタ!$J39&lt;Z$3+7),AND(学校マスタ!$L39&lt;&gt;"",学校マスタ!$L39&gt;=Z$3,学校マスタ!$L39&lt;Z$3+7)),"◆",IF(AND(学校マスタ!$O39&lt;&gt;"",学校マスタ!$P39&lt;&gt;"",学校マスタ!$O39&lt;Z$3+7,学校マスタ!$P39&gt;=Z$3),"█",IF(AND(学校マスタ!$R39&lt;&gt;"",学校マスタ!$U39&lt;&gt;"",学校マスタ!$R39&lt;Z$3+7,学校マスタ!$U39&gt;=Z$3),"▒","")))))</f>
        <v/>
      </c>
      <c r="AA41" s="26">
        <f>IF(学校マスタ!$A39="","",IF(AND(学校マスタ!$U39&lt;&gt;"",学校マスタ!$U39&gt;=AA$3,学校マスタ!$U39&lt;AA$3+7),"◎",IF(OR(AND(学校マスタ!$H39&lt;&gt;"",学校マスタ!$H39&gt;=AA$3,学校マスタ!$H39&lt;AA$3+7),AND(学校マスタ!$J39&lt;&gt;"",学校マスタ!$J39&gt;=AA$3,学校マスタ!$J39&lt;AA$3+7),AND(学校マスタ!$L39&lt;&gt;"",学校マスタ!$L39&gt;=AA$3,学校マスタ!$L39&lt;AA$3+7)),"◆",IF(AND(学校マスタ!$O39&lt;&gt;"",学校マスタ!$P39&lt;&gt;"",学校マスタ!$O39&lt;AA$3+7,学校マスタ!$P39&gt;=AA$3),"█",IF(AND(学校マスタ!$R39&lt;&gt;"",学校マスタ!$U39&lt;&gt;"",学校マスタ!$R39&lt;AA$3+7,学校マスタ!$U39&gt;=AA$3),"▒","")))))</f>
        <v/>
      </c>
      <c r="AB41" s="26">
        <f>IF(学校マスタ!$A39="","",IF(AND(学校マスタ!$U39&lt;&gt;"",学校マスタ!$U39&gt;=AB$3,学校マスタ!$U39&lt;AB$3+7),"◎",IF(OR(AND(学校マスタ!$H39&lt;&gt;"",学校マスタ!$H39&gt;=AB$3,学校マスタ!$H39&lt;AB$3+7),AND(学校マスタ!$J39&lt;&gt;"",学校マスタ!$J39&gt;=AB$3,学校マスタ!$J39&lt;AB$3+7),AND(学校マスタ!$L39&lt;&gt;"",学校マスタ!$L39&gt;=AB$3,学校マスタ!$L39&lt;AB$3+7)),"◆",IF(AND(学校マスタ!$O39&lt;&gt;"",学校マスタ!$P39&lt;&gt;"",学校マスタ!$O39&lt;AB$3+7,学校マスタ!$P39&gt;=AB$3),"█",IF(AND(学校マスタ!$R39&lt;&gt;"",学校マスタ!$U39&lt;&gt;"",学校マスタ!$R39&lt;AB$3+7,学校マスタ!$U39&gt;=AB$3),"▒","")))))</f>
        <v/>
      </c>
    </row>
    <row r="42">
      <c r="A42" s="19">
        <f>IF(学校マスタ!$A40="","",学校マスタ!$A40)</f>
        <v/>
      </c>
      <c r="B42" s="19">
        <f>IF(学校マスタ!$A40="","",学校マスタ!$C40)</f>
        <v/>
      </c>
      <c r="C42" s="19">
        <f>IF(学校マスタ!$A40="","",学校マスタ!$X40)</f>
        <v/>
      </c>
      <c r="D42" s="25">
        <f>IF(学校マスタ!$A40="","",学校マスタ!$R40)</f>
        <v/>
      </c>
      <c r="E42" s="26">
        <f>IF(学校マスタ!$A40="","",IF(AND(学校マスタ!$U40&lt;&gt;"",学校マスタ!$U40&gt;=E$3,学校マスタ!$U40&lt;E$3+7),"◎",IF(OR(AND(学校マスタ!$H40&lt;&gt;"",学校マスタ!$H40&gt;=E$3,学校マスタ!$H40&lt;E$3+7),AND(学校マスタ!$J40&lt;&gt;"",学校マスタ!$J40&gt;=E$3,学校マスタ!$J40&lt;E$3+7),AND(学校マスタ!$L40&lt;&gt;"",学校マスタ!$L40&gt;=E$3,学校マスタ!$L40&lt;E$3+7)),"◆",IF(AND(学校マスタ!$O40&lt;&gt;"",学校マスタ!$P40&lt;&gt;"",学校マスタ!$O40&lt;E$3+7,学校マスタ!$P40&gt;=E$3),"█",IF(AND(学校マスタ!$R40&lt;&gt;"",学校マスタ!$U40&lt;&gt;"",学校マスタ!$R40&lt;E$3+7,学校マスタ!$U40&gt;=E$3),"▒","")))))</f>
        <v/>
      </c>
      <c r="F42" s="26">
        <f>IF(学校マスタ!$A40="","",IF(AND(学校マスタ!$U40&lt;&gt;"",学校マスタ!$U40&gt;=F$3,学校マスタ!$U40&lt;F$3+7),"◎",IF(OR(AND(学校マスタ!$H40&lt;&gt;"",学校マスタ!$H40&gt;=F$3,学校マスタ!$H40&lt;F$3+7),AND(学校マスタ!$J40&lt;&gt;"",学校マスタ!$J40&gt;=F$3,学校マスタ!$J40&lt;F$3+7),AND(学校マスタ!$L40&lt;&gt;"",学校マスタ!$L40&gt;=F$3,学校マスタ!$L40&lt;F$3+7)),"◆",IF(AND(学校マスタ!$O40&lt;&gt;"",学校マスタ!$P40&lt;&gt;"",学校マスタ!$O40&lt;F$3+7,学校マスタ!$P40&gt;=F$3),"█",IF(AND(学校マスタ!$R40&lt;&gt;"",学校マスタ!$U40&lt;&gt;"",学校マスタ!$R40&lt;F$3+7,学校マスタ!$U40&gt;=F$3),"▒","")))))</f>
        <v/>
      </c>
      <c r="G42" s="26">
        <f>IF(学校マスタ!$A40="","",IF(AND(学校マスタ!$U40&lt;&gt;"",学校マスタ!$U40&gt;=G$3,学校マスタ!$U40&lt;G$3+7),"◎",IF(OR(AND(学校マスタ!$H40&lt;&gt;"",学校マスタ!$H40&gt;=G$3,学校マスタ!$H40&lt;G$3+7),AND(学校マスタ!$J40&lt;&gt;"",学校マスタ!$J40&gt;=G$3,学校マスタ!$J40&lt;G$3+7),AND(学校マスタ!$L40&lt;&gt;"",学校マスタ!$L40&gt;=G$3,学校マスタ!$L40&lt;G$3+7)),"◆",IF(AND(学校マスタ!$O40&lt;&gt;"",学校マスタ!$P40&lt;&gt;"",学校マスタ!$O40&lt;G$3+7,学校マスタ!$P40&gt;=G$3),"█",IF(AND(学校マスタ!$R40&lt;&gt;"",学校マスタ!$U40&lt;&gt;"",学校マスタ!$R40&lt;G$3+7,学校マスタ!$U40&gt;=G$3),"▒","")))))</f>
        <v/>
      </c>
      <c r="H42" s="26">
        <f>IF(学校マスタ!$A40="","",IF(AND(学校マスタ!$U40&lt;&gt;"",学校マスタ!$U40&gt;=H$3,学校マスタ!$U40&lt;H$3+7),"◎",IF(OR(AND(学校マスタ!$H40&lt;&gt;"",学校マスタ!$H40&gt;=H$3,学校マスタ!$H40&lt;H$3+7),AND(学校マスタ!$J40&lt;&gt;"",学校マスタ!$J40&gt;=H$3,学校マスタ!$J40&lt;H$3+7),AND(学校マスタ!$L40&lt;&gt;"",学校マスタ!$L40&gt;=H$3,学校マスタ!$L40&lt;H$3+7)),"◆",IF(AND(学校マスタ!$O40&lt;&gt;"",学校マスタ!$P40&lt;&gt;"",学校マスタ!$O40&lt;H$3+7,学校マスタ!$P40&gt;=H$3),"█",IF(AND(学校マスタ!$R40&lt;&gt;"",学校マスタ!$U40&lt;&gt;"",学校マスタ!$R40&lt;H$3+7,学校マスタ!$U40&gt;=H$3),"▒","")))))</f>
        <v/>
      </c>
      <c r="I42" s="26">
        <f>IF(学校マスタ!$A40="","",IF(AND(学校マスタ!$U40&lt;&gt;"",学校マスタ!$U40&gt;=I$3,学校マスタ!$U40&lt;I$3+7),"◎",IF(OR(AND(学校マスタ!$H40&lt;&gt;"",学校マスタ!$H40&gt;=I$3,学校マスタ!$H40&lt;I$3+7),AND(学校マスタ!$J40&lt;&gt;"",学校マスタ!$J40&gt;=I$3,学校マスタ!$J40&lt;I$3+7),AND(学校マスタ!$L40&lt;&gt;"",学校マスタ!$L40&gt;=I$3,学校マスタ!$L40&lt;I$3+7)),"◆",IF(AND(学校マスタ!$O40&lt;&gt;"",学校マスタ!$P40&lt;&gt;"",学校マスタ!$O40&lt;I$3+7,学校マスタ!$P40&gt;=I$3),"█",IF(AND(学校マスタ!$R40&lt;&gt;"",学校マスタ!$U40&lt;&gt;"",学校マスタ!$R40&lt;I$3+7,学校マスタ!$U40&gt;=I$3),"▒","")))))</f>
        <v/>
      </c>
      <c r="J42" s="26">
        <f>IF(学校マスタ!$A40="","",IF(AND(学校マスタ!$U40&lt;&gt;"",学校マスタ!$U40&gt;=J$3,学校マスタ!$U40&lt;J$3+7),"◎",IF(OR(AND(学校マスタ!$H40&lt;&gt;"",学校マスタ!$H40&gt;=J$3,学校マスタ!$H40&lt;J$3+7),AND(学校マスタ!$J40&lt;&gt;"",学校マスタ!$J40&gt;=J$3,学校マスタ!$J40&lt;J$3+7),AND(学校マスタ!$L40&lt;&gt;"",学校マスタ!$L40&gt;=J$3,学校マスタ!$L40&lt;J$3+7)),"◆",IF(AND(学校マスタ!$O40&lt;&gt;"",学校マスタ!$P40&lt;&gt;"",学校マスタ!$O40&lt;J$3+7,学校マスタ!$P40&gt;=J$3),"█",IF(AND(学校マスタ!$R40&lt;&gt;"",学校マスタ!$U40&lt;&gt;"",学校マスタ!$R40&lt;J$3+7,学校マスタ!$U40&gt;=J$3),"▒","")))))</f>
        <v/>
      </c>
      <c r="K42" s="26">
        <f>IF(学校マスタ!$A40="","",IF(AND(学校マスタ!$U40&lt;&gt;"",学校マスタ!$U40&gt;=K$3,学校マスタ!$U40&lt;K$3+7),"◎",IF(OR(AND(学校マスタ!$H40&lt;&gt;"",学校マスタ!$H40&gt;=K$3,学校マスタ!$H40&lt;K$3+7),AND(学校マスタ!$J40&lt;&gt;"",学校マスタ!$J40&gt;=K$3,学校マスタ!$J40&lt;K$3+7),AND(学校マスタ!$L40&lt;&gt;"",学校マスタ!$L40&gt;=K$3,学校マスタ!$L40&lt;K$3+7)),"◆",IF(AND(学校マスタ!$O40&lt;&gt;"",学校マスタ!$P40&lt;&gt;"",学校マスタ!$O40&lt;K$3+7,学校マスタ!$P40&gt;=K$3),"█",IF(AND(学校マスタ!$R40&lt;&gt;"",学校マスタ!$U40&lt;&gt;"",学校マスタ!$R40&lt;K$3+7,学校マスタ!$U40&gt;=K$3),"▒","")))))</f>
        <v/>
      </c>
      <c r="L42" s="26">
        <f>IF(学校マスタ!$A40="","",IF(AND(学校マスタ!$U40&lt;&gt;"",学校マスタ!$U40&gt;=L$3,学校マスタ!$U40&lt;L$3+7),"◎",IF(OR(AND(学校マスタ!$H40&lt;&gt;"",学校マスタ!$H40&gt;=L$3,学校マスタ!$H40&lt;L$3+7),AND(学校マスタ!$J40&lt;&gt;"",学校マスタ!$J40&gt;=L$3,学校マスタ!$J40&lt;L$3+7),AND(学校マスタ!$L40&lt;&gt;"",学校マスタ!$L40&gt;=L$3,学校マスタ!$L40&lt;L$3+7)),"◆",IF(AND(学校マスタ!$O40&lt;&gt;"",学校マスタ!$P40&lt;&gt;"",学校マスタ!$O40&lt;L$3+7,学校マスタ!$P40&gt;=L$3),"█",IF(AND(学校マスタ!$R40&lt;&gt;"",学校マスタ!$U40&lt;&gt;"",学校マスタ!$R40&lt;L$3+7,学校マスタ!$U40&gt;=L$3),"▒","")))))</f>
        <v/>
      </c>
      <c r="M42" s="26">
        <f>IF(学校マスタ!$A40="","",IF(AND(学校マスタ!$U40&lt;&gt;"",学校マスタ!$U40&gt;=M$3,学校マスタ!$U40&lt;M$3+7),"◎",IF(OR(AND(学校マスタ!$H40&lt;&gt;"",学校マスタ!$H40&gt;=M$3,学校マスタ!$H40&lt;M$3+7),AND(学校マスタ!$J40&lt;&gt;"",学校マスタ!$J40&gt;=M$3,学校マスタ!$J40&lt;M$3+7),AND(学校マスタ!$L40&lt;&gt;"",学校マスタ!$L40&gt;=M$3,学校マスタ!$L40&lt;M$3+7)),"◆",IF(AND(学校マスタ!$O40&lt;&gt;"",学校マスタ!$P40&lt;&gt;"",学校マスタ!$O40&lt;M$3+7,学校マスタ!$P40&gt;=M$3),"█",IF(AND(学校マスタ!$R40&lt;&gt;"",学校マスタ!$U40&lt;&gt;"",学校マスタ!$R40&lt;M$3+7,学校マスタ!$U40&gt;=M$3),"▒","")))))</f>
        <v/>
      </c>
      <c r="N42" s="26">
        <f>IF(学校マスタ!$A40="","",IF(AND(学校マスタ!$U40&lt;&gt;"",学校マスタ!$U40&gt;=N$3,学校マスタ!$U40&lt;N$3+7),"◎",IF(OR(AND(学校マスタ!$H40&lt;&gt;"",学校マスタ!$H40&gt;=N$3,学校マスタ!$H40&lt;N$3+7),AND(学校マスタ!$J40&lt;&gt;"",学校マスタ!$J40&gt;=N$3,学校マスタ!$J40&lt;N$3+7),AND(学校マスタ!$L40&lt;&gt;"",学校マスタ!$L40&gt;=N$3,学校マスタ!$L40&lt;N$3+7)),"◆",IF(AND(学校マスタ!$O40&lt;&gt;"",学校マスタ!$P40&lt;&gt;"",学校マスタ!$O40&lt;N$3+7,学校マスタ!$P40&gt;=N$3),"█",IF(AND(学校マスタ!$R40&lt;&gt;"",学校マスタ!$U40&lt;&gt;"",学校マスタ!$R40&lt;N$3+7,学校マスタ!$U40&gt;=N$3),"▒","")))))</f>
        <v/>
      </c>
      <c r="O42" s="26">
        <f>IF(学校マスタ!$A40="","",IF(AND(学校マスタ!$U40&lt;&gt;"",学校マスタ!$U40&gt;=O$3,学校マスタ!$U40&lt;O$3+7),"◎",IF(OR(AND(学校マスタ!$H40&lt;&gt;"",学校マスタ!$H40&gt;=O$3,学校マスタ!$H40&lt;O$3+7),AND(学校マスタ!$J40&lt;&gt;"",学校マスタ!$J40&gt;=O$3,学校マスタ!$J40&lt;O$3+7),AND(学校マスタ!$L40&lt;&gt;"",学校マスタ!$L40&gt;=O$3,学校マスタ!$L40&lt;O$3+7)),"◆",IF(AND(学校マスタ!$O40&lt;&gt;"",学校マスタ!$P40&lt;&gt;"",学校マスタ!$O40&lt;O$3+7,学校マスタ!$P40&gt;=O$3),"█",IF(AND(学校マスタ!$R40&lt;&gt;"",学校マスタ!$U40&lt;&gt;"",学校マスタ!$R40&lt;O$3+7,学校マスタ!$U40&gt;=O$3),"▒","")))))</f>
        <v/>
      </c>
      <c r="P42" s="26">
        <f>IF(学校マスタ!$A40="","",IF(AND(学校マスタ!$U40&lt;&gt;"",学校マスタ!$U40&gt;=P$3,学校マスタ!$U40&lt;P$3+7),"◎",IF(OR(AND(学校マスタ!$H40&lt;&gt;"",学校マスタ!$H40&gt;=P$3,学校マスタ!$H40&lt;P$3+7),AND(学校マスタ!$J40&lt;&gt;"",学校マスタ!$J40&gt;=P$3,学校マスタ!$J40&lt;P$3+7),AND(学校マスタ!$L40&lt;&gt;"",学校マスタ!$L40&gt;=P$3,学校マスタ!$L40&lt;P$3+7)),"◆",IF(AND(学校マスタ!$O40&lt;&gt;"",学校マスタ!$P40&lt;&gt;"",学校マスタ!$O40&lt;P$3+7,学校マスタ!$P40&gt;=P$3),"█",IF(AND(学校マスタ!$R40&lt;&gt;"",学校マスタ!$U40&lt;&gt;"",学校マスタ!$R40&lt;P$3+7,学校マスタ!$U40&gt;=P$3),"▒","")))))</f>
        <v/>
      </c>
      <c r="Q42" s="26">
        <f>IF(学校マスタ!$A40="","",IF(AND(学校マスタ!$U40&lt;&gt;"",学校マスタ!$U40&gt;=Q$3,学校マスタ!$U40&lt;Q$3+7),"◎",IF(OR(AND(学校マスタ!$H40&lt;&gt;"",学校マスタ!$H40&gt;=Q$3,学校マスタ!$H40&lt;Q$3+7),AND(学校マスタ!$J40&lt;&gt;"",学校マスタ!$J40&gt;=Q$3,学校マスタ!$J40&lt;Q$3+7),AND(学校マスタ!$L40&lt;&gt;"",学校マスタ!$L40&gt;=Q$3,学校マスタ!$L40&lt;Q$3+7)),"◆",IF(AND(学校マスタ!$O40&lt;&gt;"",学校マスタ!$P40&lt;&gt;"",学校マスタ!$O40&lt;Q$3+7,学校マスタ!$P40&gt;=Q$3),"█",IF(AND(学校マスタ!$R40&lt;&gt;"",学校マスタ!$U40&lt;&gt;"",学校マスタ!$R40&lt;Q$3+7,学校マスタ!$U40&gt;=Q$3),"▒","")))))</f>
        <v/>
      </c>
      <c r="R42" s="26">
        <f>IF(学校マスタ!$A40="","",IF(AND(学校マスタ!$U40&lt;&gt;"",学校マスタ!$U40&gt;=R$3,学校マスタ!$U40&lt;R$3+7),"◎",IF(OR(AND(学校マスタ!$H40&lt;&gt;"",学校マスタ!$H40&gt;=R$3,学校マスタ!$H40&lt;R$3+7),AND(学校マスタ!$J40&lt;&gt;"",学校マスタ!$J40&gt;=R$3,学校マスタ!$J40&lt;R$3+7),AND(学校マスタ!$L40&lt;&gt;"",学校マスタ!$L40&gt;=R$3,学校マスタ!$L40&lt;R$3+7)),"◆",IF(AND(学校マスタ!$O40&lt;&gt;"",学校マスタ!$P40&lt;&gt;"",学校マスタ!$O40&lt;R$3+7,学校マスタ!$P40&gt;=R$3),"█",IF(AND(学校マスタ!$R40&lt;&gt;"",学校マスタ!$U40&lt;&gt;"",学校マスタ!$R40&lt;R$3+7,学校マスタ!$U40&gt;=R$3),"▒","")))))</f>
        <v/>
      </c>
      <c r="S42" s="26">
        <f>IF(学校マスタ!$A40="","",IF(AND(学校マスタ!$U40&lt;&gt;"",学校マスタ!$U40&gt;=S$3,学校マスタ!$U40&lt;S$3+7),"◎",IF(OR(AND(学校マスタ!$H40&lt;&gt;"",学校マスタ!$H40&gt;=S$3,学校マスタ!$H40&lt;S$3+7),AND(学校マスタ!$J40&lt;&gt;"",学校マスタ!$J40&gt;=S$3,学校マスタ!$J40&lt;S$3+7),AND(学校マスタ!$L40&lt;&gt;"",学校マスタ!$L40&gt;=S$3,学校マスタ!$L40&lt;S$3+7)),"◆",IF(AND(学校マスタ!$O40&lt;&gt;"",学校マスタ!$P40&lt;&gt;"",学校マスタ!$O40&lt;S$3+7,学校マスタ!$P40&gt;=S$3),"█",IF(AND(学校マスタ!$R40&lt;&gt;"",学校マスタ!$U40&lt;&gt;"",学校マスタ!$R40&lt;S$3+7,学校マスタ!$U40&gt;=S$3),"▒","")))))</f>
        <v/>
      </c>
      <c r="T42" s="26">
        <f>IF(学校マスタ!$A40="","",IF(AND(学校マスタ!$U40&lt;&gt;"",学校マスタ!$U40&gt;=T$3,学校マスタ!$U40&lt;T$3+7),"◎",IF(OR(AND(学校マスタ!$H40&lt;&gt;"",学校マスタ!$H40&gt;=T$3,学校マスタ!$H40&lt;T$3+7),AND(学校マスタ!$J40&lt;&gt;"",学校マスタ!$J40&gt;=T$3,学校マスタ!$J40&lt;T$3+7),AND(学校マスタ!$L40&lt;&gt;"",学校マスタ!$L40&gt;=T$3,学校マスタ!$L40&lt;T$3+7)),"◆",IF(AND(学校マスタ!$O40&lt;&gt;"",学校マスタ!$P40&lt;&gt;"",学校マスタ!$O40&lt;T$3+7,学校マスタ!$P40&gt;=T$3),"█",IF(AND(学校マスタ!$R40&lt;&gt;"",学校マスタ!$U40&lt;&gt;"",学校マスタ!$R40&lt;T$3+7,学校マスタ!$U40&gt;=T$3),"▒","")))))</f>
        <v/>
      </c>
      <c r="U42" s="26">
        <f>IF(学校マスタ!$A40="","",IF(AND(学校マスタ!$U40&lt;&gt;"",学校マスタ!$U40&gt;=U$3,学校マスタ!$U40&lt;U$3+7),"◎",IF(OR(AND(学校マスタ!$H40&lt;&gt;"",学校マスタ!$H40&gt;=U$3,学校マスタ!$H40&lt;U$3+7),AND(学校マスタ!$J40&lt;&gt;"",学校マスタ!$J40&gt;=U$3,学校マスタ!$J40&lt;U$3+7),AND(学校マスタ!$L40&lt;&gt;"",学校マスタ!$L40&gt;=U$3,学校マスタ!$L40&lt;U$3+7)),"◆",IF(AND(学校マスタ!$O40&lt;&gt;"",学校マスタ!$P40&lt;&gt;"",学校マスタ!$O40&lt;U$3+7,学校マスタ!$P40&gt;=U$3),"█",IF(AND(学校マスタ!$R40&lt;&gt;"",学校マスタ!$U40&lt;&gt;"",学校マスタ!$R40&lt;U$3+7,学校マスタ!$U40&gt;=U$3),"▒","")))))</f>
        <v/>
      </c>
      <c r="V42" s="26">
        <f>IF(学校マスタ!$A40="","",IF(AND(学校マスタ!$U40&lt;&gt;"",学校マスタ!$U40&gt;=V$3,学校マスタ!$U40&lt;V$3+7),"◎",IF(OR(AND(学校マスタ!$H40&lt;&gt;"",学校マスタ!$H40&gt;=V$3,学校マスタ!$H40&lt;V$3+7),AND(学校マスタ!$J40&lt;&gt;"",学校マスタ!$J40&gt;=V$3,学校マスタ!$J40&lt;V$3+7),AND(学校マスタ!$L40&lt;&gt;"",学校マスタ!$L40&gt;=V$3,学校マスタ!$L40&lt;V$3+7)),"◆",IF(AND(学校マスタ!$O40&lt;&gt;"",学校マスタ!$P40&lt;&gt;"",学校マスタ!$O40&lt;V$3+7,学校マスタ!$P40&gt;=V$3),"█",IF(AND(学校マスタ!$R40&lt;&gt;"",学校マスタ!$U40&lt;&gt;"",学校マスタ!$R40&lt;V$3+7,学校マスタ!$U40&gt;=V$3),"▒","")))))</f>
        <v/>
      </c>
      <c r="W42" s="26">
        <f>IF(学校マスタ!$A40="","",IF(AND(学校マスタ!$U40&lt;&gt;"",学校マスタ!$U40&gt;=W$3,学校マスタ!$U40&lt;W$3+7),"◎",IF(OR(AND(学校マスタ!$H40&lt;&gt;"",学校マスタ!$H40&gt;=W$3,学校マスタ!$H40&lt;W$3+7),AND(学校マスタ!$J40&lt;&gt;"",学校マスタ!$J40&gt;=W$3,学校マスタ!$J40&lt;W$3+7),AND(学校マスタ!$L40&lt;&gt;"",学校マスタ!$L40&gt;=W$3,学校マスタ!$L40&lt;W$3+7)),"◆",IF(AND(学校マスタ!$O40&lt;&gt;"",学校マスタ!$P40&lt;&gt;"",学校マスタ!$O40&lt;W$3+7,学校マスタ!$P40&gt;=W$3),"█",IF(AND(学校マスタ!$R40&lt;&gt;"",学校マスタ!$U40&lt;&gt;"",学校マスタ!$R40&lt;W$3+7,学校マスタ!$U40&gt;=W$3),"▒","")))))</f>
        <v/>
      </c>
      <c r="X42" s="26">
        <f>IF(学校マスタ!$A40="","",IF(AND(学校マスタ!$U40&lt;&gt;"",学校マスタ!$U40&gt;=X$3,学校マスタ!$U40&lt;X$3+7),"◎",IF(OR(AND(学校マスタ!$H40&lt;&gt;"",学校マスタ!$H40&gt;=X$3,学校マスタ!$H40&lt;X$3+7),AND(学校マスタ!$J40&lt;&gt;"",学校マスタ!$J40&gt;=X$3,学校マスタ!$J40&lt;X$3+7),AND(学校マスタ!$L40&lt;&gt;"",学校マスタ!$L40&gt;=X$3,学校マスタ!$L40&lt;X$3+7)),"◆",IF(AND(学校マスタ!$O40&lt;&gt;"",学校マスタ!$P40&lt;&gt;"",学校マスタ!$O40&lt;X$3+7,学校マスタ!$P40&gt;=X$3),"█",IF(AND(学校マスタ!$R40&lt;&gt;"",学校マスタ!$U40&lt;&gt;"",学校マスタ!$R40&lt;X$3+7,学校マスタ!$U40&gt;=X$3),"▒","")))))</f>
        <v/>
      </c>
      <c r="Y42" s="26">
        <f>IF(学校マスタ!$A40="","",IF(AND(学校マスタ!$U40&lt;&gt;"",学校マスタ!$U40&gt;=Y$3,学校マスタ!$U40&lt;Y$3+7),"◎",IF(OR(AND(学校マスタ!$H40&lt;&gt;"",学校マスタ!$H40&gt;=Y$3,学校マスタ!$H40&lt;Y$3+7),AND(学校マスタ!$J40&lt;&gt;"",学校マスタ!$J40&gt;=Y$3,学校マスタ!$J40&lt;Y$3+7),AND(学校マスタ!$L40&lt;&gt;"",学校マスタ!$L40&gt;=Y$3,学校マスタ!$L40&lt;Y$3+7)),"◆",IF(AND(学校マスタ!$O40&lt;&gt;"",学校マスタ!$P40&lt;&gt;"",学校マスタ!$O40&lt;Y$3+7,学校マスタ!$P40&gt;=Y$3),"█",IF(AND(学校マスタ!$R40&lt;&gt;"",学校マスタ!$U40&lt;&gt;"",学校マスタ!$R40&lt;Y$3+7,学校マスタ!$U40&gt;=Y$3),"▒","")))))</f>
        <v/>
      </c>
      <c r="Z42" s="26">
        <f>IF(学校マスタ!$A40="","",IF(AND(学校マスタ!$U40&lt;&gt;"",学校マスタ!$U40&gt;=Z$3,学校マスタ!$U40&lt;Z$3+7),"◎",IF(OR(AND(学校マスタ!$H40&lt;&gt;"",学校マスタ!$H40&gt;=Z$3,学校マスタ!$H40&lt;Z$3+7),AND(学校マスタ!$J40&lt;&gt;"",学校マスタ!$J40&gt;=Z$3,学校マスタ!$J40&lt;Z$3+7),AND(学校マスタ!$L40&lt;&gt;"",学校マスタ!$L40&gt;=Z$3,学校マスタ!$L40&lt;Z$3+7)),"◆",IF(AND(学校マスタ!$O40&lt;&gt;"",学校マスタ!$P40&lt;&gt;"",学校マスタ!$O40&lt;Z$3+7,学校マスタ!$P40&gt;=Z$3),"█",IF(AND(学校マスタ!$R40&lt;&gt;"",学校マスタ!$U40&lt;&gt;"",学校マスタ!$R40&lt;Z$3+7,学校マスタ!$U40&gt;=Z$3),"▒","")))))</f>
        <v/>
      </c>
      <c r="AA42" s="26">
        <f>IF(学校マスタ!$A40="","",IF(AND(学校マスタ!$U40&lt;&gt;"",学校マスタ!$U40&gt;=AA$3,学校マスタ!$U40&lt;AA$3+7),"◎",IF(OR(AND(学校マスタ!$H40&lt;&gt;"",学校マスタ!$H40&gt;=AA$3,学校マスタ!$H40&lt;AA$3+7),AND(学校マスタ!$J40&lt;&gt;"",学校マスタ!$J40&gt;=AA$3,学校マスタ!$J40&lt;AA$3+7),AND(学校マスタ!$L40&lt;&gt;"",学校マスタ!$L40&gt;=AA$3,学校マスタ!$L40&lt;AA$3+7)),"◆",IF(AND(学校マスタ!$O40&lt;&gt;"",学校マスタ!$P40&lt;&gt;"",学校マスタ!$O40&lt;AA$3+7,学校マスタ!$P40&gt;=AA$3),"█",IF(AND(学校マスタ!$R40&lt;&gt;"",学校マスタ!$U40&lt;&gt;"",学校マスタ!$R40&lt;AA$3+7,学校マスタ!$U40&gt;=AA$3),"▒","")))))</f>
        <v/>
      </c>
      <c r="AB42" s="26">
        <f>IF(学校マスタ!$A40="","",IF(AND(学校マスタ!$U40&lt;&gt;"",学校マスタ!$U40&gt;=AB$3,学校マスタ!$U40&lt;AB$3+7),"◎",IF(OR(AND(学校マスタ!$H40&lt;&gt;"",学校マスタ!$H40&gt;=AB$3,学校マスタ!$H40&lt;AB$3+7),AND(学校マスタ!$J40&lt;&gt;"",学校マスタ!$J40&gt;=AB$3,学校マスタ!$J40&lt;AB$3+7),AND(学校マスタ!$L40&lt;&gt;"",学校マスタ!$L40&gt;=AB$3,学校マスタ!$L40&lt;AB$3+7)),"◆",IF(AND(学校マスタ!$O40&lt;&gt;"",学校マスタ!$P40&lt;&gt;"",学校マスタ!$O40&lt;AB$3+7,学校マスタ!$P40&gt;=AB$3),"█",IF(AND(学校マスタ!$R40&lt;&gt;"",学校マスタ!$U40&lt;&gt;"",学校マスタ!$R40&lt;AB$3+7,学校マスタ!$U40&gt;=AB$3),"▒","")))))</f>
        <v/>
      </c>
    </row>
    <row r="43">
      <c r="A43" s="19">
        <f>IF(学校マスタ!$A41="","",学校マスタ!$A41)</f>
        <v/>
      </c>
      <c r="B43" s="19">
        <f>IF(学校マスタ!$A41="","",学校マスタ!$C41)</f>
        <v/>
      </c>
      <c r="C43" s="19">
        <f>IF(学校マスタ!$A41="","",学校マスタ!$X41)</f>
        <v/>
      </c>
      <c r="D43" s="25">
        <f>IF(学校マスタ!$A41="","",学校マスタ!$R41)</f>
        <v/>
      </c>
      <c r="E43" s="26">
        <f>IF(学校マスタ!$A41="","",IF(AND(学校マスタ!$U41&lt;&gt;"",学校マスタ!$U41&gt;=E$3,学校マスタ!$U41&lt;E$3+7),"◎",IF(OR(AND(学校マスタ!$H41&lt;&gt;"",学校マスタ!$H41&gt;=E$3,学校マスタ!$H41&lt;E$3+7),AND(学校マスタ!$J41&lt;&gt;"",学校マスタ!$J41&gt;=E$3,学校マスタ!$J41&lt;E$3+7),AND(学校マスタ!$L41&lt;&gt;"",学校マスタ!$L41&gt;=E$3,学校マスタ!$L41&lt;E$3+7)),"◆",IF(AND(学校マスタ!$O41&lt;&gt;"",学校マスタ!$P41&lt;&gt;"",学校マスタ!$O41&lt;E$3+7,学校マスタ!$P41&gt;=E$3),"█",IF(AND(学校マスタ!$R41&lt;&gt;"",学校マスタ!$U41&lt;&gt;"",学校マスタ!$R41&lt;E$3+7,学校マスタ!$U41&gt;=E$3),"▒","")))))</f>
        <v/>
      </c>
      <c r="F43" s="26">
        <f>IF(学校マスタ!$A41="","",IF(AND(学校マスタ!$U41&lt;&gt;"",学校マスタ!$U41&gt;=F$3,学校マスタ!$U41&lt;F$3+7),"◎",IF(OR(AND(学校マスタ!$H41&lt;&gt;"",学校マスタ!$H41&gt;=F$3,学校マスタ!$H41&lt;F$3+7),AND(学校マスタ!$J41&lt;&gt;"",学校マスタ!$J41&gt;=F$3,学校マスタ!$J41&lt;F$3+7),AND(学校マスタ!$L41&lt;&gt;"",学校マスタ!$L41&gt;=F$3,学校マスタ!$L41&lt;F$3+7)),"◆",IF(AND(学校マスタ!$O41&lt;&gt;"",学校マスタ!$P41&lt;&gt;"",学校マスタ!$O41&lt;F$3+7,学校マスタ!$P41&gt;=F$3),"█",IF(AND(学校マスタ!$R41&lt;&gt;"",学校マスタ!$U41&lt;&gt;"",学校マスタ!$R41&lt;F$3+7,学校マスタ!$U41&gt;=F$3),"▒","")))))</f>
        <v/>
      </c>
      <c r="G43" s="26">
        <f>IF(学校マスタ!$A41="","",IF(AND(学校マスタ!$U41&lt;&gt;"",学校マスタ!$U41&gt;=G$3,学校マスタ!$U41&lt;G$3+7),"◎",IF(OR(AND(学校マスタ!$H41&lt;&gt;"",学校マスタ!$H41&gt;=G$3,学校マスタ!$H41&lt;G$3+7),AND(学校マスタ!$J41&lt;&gt;"",学校マスタ!$J41&gt;=G$3,学校マスタ!$J41&lt;G$3+7),AND(学校マスタ!$L41&lt;&gt;"",学校マスタ!$L41&gt;=G$3,学校マスタ!$L41&lt;G$3+7)),"◆",IF(AND(学校マスタ!$O41&lt;&gt;"",学校マスタ!$P41&lt;&gt;"",学校マスタ!$O41&lt;G$3+7,学校マスタ!$P41&gt;=G$3),"█",IF(AND(学校マスタ!$R41&lt;&gt;"",学校マスタ!$U41&lt;&gt;"",学校マスタ!$R41&lt;G$3+7,学校マスタ!$U41&gt;=G$3),"▒","")))))</f>
        <v/>
      </c>
      <c r="H43" s="26">
        <f>IF(学校マスタ!$A41="","",IF(AND(学校マスタ!$U41&lt;&gt;"",学校マスタ!$U41&gt;=H$3,学校マスタ!$U41&lt;H$3+7),"◎",IF(OR(AND(学校マスタ!$H41&lt;&gt;"",学校マスタ!$H41&gt;=H$3,学校マスタ!$H41&lt;H$3+7),AND(学校マスタ!$J41&lt;&gt;"",学校マスタ!$J41&gt;=H$3,学校マスタ!$J41&lt;H$3+7),AND(学校マスタ!$L41&lt;&gt;"",学校マスタ!$L41&gt;=H$3,学校マスタ!$L41&lt;H$3+7)),"◆",IF(AND(学校マスタ!$O41&lt;&gt;"",学校マスタ!$P41&lt;&gt;"",学校マスタ!$O41&lt;H$3+7,学校マスタ!$P41&gt;=H$3),"█",IF(AND(学校マスタ!$R41&lt;&gt;"",学校マスタ!$U41&lt;&gt;"",学校マスタ!$R41&lt;H$3+7,学校マスタ!$U41&gt;=H$3),"▒","")))))</f>
        <v/>
      </c>
      <c r="I43" s="26">
        <f>IF(学校マスタ!$A41="","",IF(AND(学校マスタ!$U41&lt;&gt;"",学校マスタ!$U41&gt;=I$3,学校マスタ!$U41&lt;I$3+7),"◎",IF(OR(AND(学校マスタ!$H41&lt;&gt;"",学校マスタ!$H41&gt;=I$3,学校マスタ!$H41&lt;I$3+7),AND(学校マスタ!$J41&lt;&gt;"",学校マスタ!$J41&gt;=I$3,学校マスタ!$J41&lt;I$3+7),AND(学校マスタ!$L41&lt;&gt;"",学校マスタ!$L41&gt;=I$3,学校マスタ!$L41&lt;I$3+7)),"◆",IF(AND(学校マスタ!$O41&lt;&gt;"",学校マスタ!$P41&lt;&gt;"",学校マスタ!$O41&lt;I$3+7,学校マスタ!$P41&gt;=I$3),"█",IF(AND(学校マスタ!$R41&lt;&gt;"",学校マスタ!$U41&lt;&gt;"",学校マスタ!$R41&lt;I$3+7,学校マスタ!$U41&gt;=I$3),"▒","")))))</f>
        <v/>
      </c>
      <c r="J43" s="26">
        <f>IF(学校マスタ!$A41="","",IF(AND(学校マスタ!$U41&lt;&gt;"",学校マスタ!$U41&gt;=J$3,学校マスタ!$U41&lt;J$3+7),"◎",IF(OR(AND(学校マスタ!$H41&lt;&gt;"",学校マスタ!$H41&gt;=J$3,学校マスタ!$H41&lt;J$3+7),AND(学校マスタ!$J41&lt;&gt;"",学校マスタ!$J41&gt;=J$3,学校マスタ!$J41&lt;J$3+7),AND(学校マスタ!$L41&lt;&gt;"",学校マスタ!$L41&gt;=J$3,学校マスタ!$L41&lt;J$3+7)),"◆",IF(AND(学校マスタ!$O41&lt;&gt;"",学校マスタ!$P41&lt;&gt;"",学校マスタ!$O41&lt;J$3+7,学校マスタ!$P41&gt;=J$3),"█",IF(AND(学校マスタ!$R41&lt;&gt;"",学校マスタ!$U41&lt;&gt;"",学校マスタ!$R41&lt;J$3+7,学校マスタ!$U41&gt;=J$3),"▒","")))))</f>
        <v/>
      </c>
      <c r="K43" s="26">
        <f>IF(学校マスタ!$A41="","",IF(AND(学校マスタ!$U41&lt;&gt;"",学校マスタ!$U41&gt;=K$3,学校マスタ!$U41&lt;K$3+7),"◎",IF(OR(AND(学校マスタ!$H41&lt;&gt;"",学校マスタ!$H41&gt;=K$3,学校マスタ!$H41&lt;K$3+7),AND(学校マスタ!$J41&lt;&gt;"",学校マスタ!$J41&gt;=K$3,学校マスタ!$J41&lt;K$3+7),AND(学校マスタ!$L41&lt;&gt;"",学校マスタ!$L41&gt;=K$3,学校マスタ!$L41&lt;K$3+7)),"◆",IF(AND(学校マスタ!$O41&lt;&gt;"",学校マスタ!$P41&lt;&gt;"",学校マスタ!$O41&lt;K$3+7,学校マスタ!$P41&gt;=K$3),"█",IF(AND(学校マスタ!$R41&lt;&gt;"",学校マスタ!$U41&lt;&gt;"",学校マスタ!$R41&lt;K$3+7,学校マスタ!$U41&gt;=K$3),"▒","")))))</f>
        <v/>
      </c>
      <c r="L43" s="26">
        <f>IF(学校マスタ!$A41="","",IF(AND(学校マスタ!$U41&lt;&gt;"",学校マスタ!$U41&gt;=L$3,学校マスタ!$U41&lt;L$3+7),"◎",IF(OR(AND(学校マスタ!$H41&lt;&gt;"",学校マスタ!$H41&gt;=L$3,学校マスタ!$H41&lt;L$3+7),AND(学校マスタ!$J41&lt;&gt;"",学校マスタ!$J41&gt;=L$3,学校マスタ!$J41&lt;L$3+7),AND(学校マスタ!$L41&lt;&gt;"",学校マスタ!$L41&gt;=L$3,学校マスタ!$L41&lt;L$3+7)),"◆",IF(AND(学校マスタ!$O41&lt;&gt;"",学校マスタ!$P41&lt;&gt;"",学校マスタ!$O41&lt;L$3+7,学校マスタ!$P41&gt;=L$3),"█",IF(AND(学校マスタ!$R41&lt;&gt;"",学校マスタ!$U41&lt;&gt;"",学校マスタ!$R41&lt;L$3+7,学校マスタ!$U41&gt;=L$3),"▒","")))))</f>
        <v/>
      </c>
      <c r="M43" s="26">
        <f>IF(学校マスタ!$A41="","",IF(AND(学校マスタ!$U41&lt;&gt;"",学校マスタ!$U41&gt;=M$3,学校マスタ!$U41&lt;M$3+7),"◎",IF(OR(AND(学校マスタ!$H41&lt;&gt;"",学校マスタ!$H41&gt;=M$3,学校マスタ!$H41&lt;M$3+7),AND(学校マスタ!$J41&lt;&gt;"",学校マスタ!$J41&gt;=M$3,学校マスタ!$J41&lt;M$3+7),AND(学校マスタ!$L41&lt;&gt;"",学校マスタ!$L41&gt;=M$3,学校マスタ!$L41&lt;M$3+7)),"◆",IF(AND(学校マスタ!$O41&lt;&gt;"",学校マスタ!$P41&lt;&gt;"",学校マスタ!$O41&lt;M$3+7,学校マスタ!$P41&gt;=M$3),"█",IF(AND(学校マスタ!$R41&lt;&gt;"",学校マスタ!$U41&lt;&gt;"",学校マスタ!$R41&lt;M$3+7,学校マスタ!$U41&gt;=M$3),"▒","")))))</f>
        <v/>
      </c>
      <c r="N43" s="26">
        <f>IF(学校マスタ!$A41="","",IF(AND(学校マスタ!$U41&lt;&gt;"",学校マスタ!$U41&gt;=N$3,学校マスタ!$U41&lt;N$3+7),"◎",IF(OR(AND(学校マスタ!$H41&lt;&gt;"",学校マスタ!$H41&gt;=N$3,学校マスタ!$H41&lt;N$3+7),AND(学校マスタ!$J41&lt;&gt;"",学校マスタ!$J41&gt;=N$3,学校マスタ!$J41&lt;N$3+7),AND(学校マスタ!$L41&lt;&gt;"",学校マスタ!$L41&gt;=N$3,学校マスタ!$L41&lt;N$3+7)),"◆",IF(AND(学校マスタ!$O41&lt;&gt;"",学校マスタ!$P41&lt;&gt;"",学校マスタ!$O41&lt;N$3+7,学校マスタ!$P41&gt;=N$3),"█",IF(AND(学校マスタ!$R41&lt;&gt;"",学校マスタ!$U41&lt;&gt;"",学校マスタ!$R41&lt;N$3+7,学校マスタ!$U41&gt;=N$3),"▒","")))))</f>
        <v/>
      </c>
      <c r="O43" s="26">
        <f>IF(学校マスタ!$A41="","",IF(AND(学校マスタ!$U41&lt;&gt;"",学校マスタ!$U41&gt;=O$3,学校マスタ!$U41&lt;O$3+7),"◎",IF(OR(AND(学校マスタ!$H41&lt;&gt;"",学校マスタ!$H41&gt;=O$3,学校マスタ!$H41&lt;O$3+7),AND(学校マスタ!$J41&lt;&gt;"",学校マスタ!$J41&gt;=O$3,学校マスタ!$J41&lt;O$3+7),AND(学校マスタ!$L41&lt;&gt;"",学校マスタ!$L41&gt;=O$3,学校マスタ!$L41&lt;O$3+7)),"◆",IF(AND(学校マスタ!$O41&lt;&gt;"",学校マスタ!$P41&lt;&gt;"",学校マスタ!$O41&lt;O$3+7,学校マスタ!$P41&gt;=O$3),"█",IF(AND(学校マスタ!$R41&lt;&gt;"",学校マスタ!$U41&lt;&gt;"",学校マスタ!$R41&lt;O$3+7,学校マスタ!$U41&gt;=O$3),"▒","")))))</f>
        <v/>
      </c>
      <c r="P43" s="26">
        <f>IF(学校マスタ!$A41="","",IF(AND(学校マスタ!$U41&lt;&gt;"",学校マスタ!$U41&gt;=P$3,学校マスタ!$U41&lt;P$3+7),"◎",IF(OR(AND(学校マスタ!$H41&lt;&gt;"",学校マスタ!$H41&gt;=P$3,学校マスタ!$H41&lt;P$3+7),AND(学校マスタ!$J41&lt;&gt;"",学校マスタ!$J41&gt;=P$3,学校マスタ!$J41&lt;P$3+7),AND(学校マスタ!$L41&lt;&gt;"",学校マスタ!$L41&gt;=P$3,学校マスタ!$L41&lt;P$3+7)),"◆",IF(AND(学校マスタ!$O41&lt;&gt;"",学校マスタ!$P41&lt;&gt;"",学校マスタ!$O41&lt;P$3+7,学校マスタ!$P41&gt;=P$3),"█",IF(AND(学校マスタ!$R41&lt;&gt;"",学校マスタ!$U41&lt;&gt;"",学校マスタ!$R41&lt;P$3+7,学校マスタ!$U41&gt;=P$3),"▒","")))))</f>
        <v/>
      </c>
      <c r="Q43" s="26">
        <f>IF(学校マスタ!$A41="","",IF(AND(学校マスタ!$U41&lt;&gt;"",学校マスタ!$U41&gt;=Q$3,学校マスタ!$U41&lt;Q$3+7),"◎",IF(OR(AND(学校マスタ!$H41&lt;&gt;"",学校マスタ!$H41&gt;=Q$3,学校マスタ!$H41&lt;Q$3+7),AND(学校マスタ!$J41&lt;&gt;"",学校マスタ!$J41&gt;=Q$3,学校マスタ!$J41&lt;Q$3+7),AND(学校マスタ!$L41&lt;&gt;"",学校マスタ!$L41&gt;=Q$3,学校マスタ!$L41&lt;Q$3+7)),"◆",IF(AND(学校マスタ!$O41&lt;&gt;"",学校マスタ!$P41&lt;&gt;"",学校マスタ!$O41&lt;Q$3+7,学校マスタ!$P41&gt;=Q$3),"█",IF(AND(学校マスタ!$R41&lt;&gt;"",学校マスタ!$U41&lt;&gt;"",学校マスタ!$R41&lt;Q$3+7,学校マスタ!$U41&gt;=Q$3),"▒","")))))</f>
        <v/>
      </c>
      <c r="R43" s="26">
        <f>IF(学校マスタ!$A41="","",IF(AND(学校マスタ!$U41&lt;&gt;"",学校マスタ!$U41&gt;=R$3,学校マスタ!$U41&lt;R$3+7),"◎",IF(OR(AND(学校マスタ!$H41&lt;&gt;"",学校マスタ!$H41&gt;=R$3,学校マスタ!$H41&lt;R$3+7),AND(学校マスタ!$J41&lt;&gt;"",学校マスタ!$J41&gt;=R$3,学校マスタ!$J41&lt;R$3+7),AND(学校マスタ!$L41&lt;&gt;"",学校マスタ!$L41&gt;=R$3,学校マスタ!$L41&lt;R$3+7)),"◆",IF(AND(学校マスタ!$O41&lt;&gt;"",学校マスタ!$P41&lt;&gt;"",学校マスタ!$O41&lt;R$3+7,学校マスタ!$P41&gt;=R$3),"█",IF(AND(学校マスタ!$R41&lt;&gt;"",学校マスタ!$U41&lt;&gt;"",学校マスタ!$R41&lt;R$3+7,学校マスタ!$U41&gt;=R$3),"▒","")))))</f>
        <v/>
      </c>
      <c r="S43" s="26">
        <f>IF(学校マスタ!$A41="","",IF(AND(学校マスタ!$U41&lt;&gt;"",学校マスタ!$U41&gt;=S$3,学校マスタ!$U41&lt;S$3+7),"◎",IF(OR(AND(学校マスタ!$H41&lt;&gt;"",学校マスタ!$H41&gt;=S$3,学校マスタ!$H41&lt;S$3+7),AND(学校マスタ!$J41&lt;&gt;"",学校マスタ!$J41&gt;=S$3,学校マスタ!$J41&lt;S$3+7),AND(学校マスタ!$L41&lt;&gt;"",学校マスタ!$L41&gt;=S$3,学校マスタ!$L41&lt;S$3+7)),"◆",IF(AND(学校マスタ!$O41&lt;&gt;"",学校マスタ!$P41&lt;&gt;"",学校マスタ!$O41&lt;S$3+7,学校マスタ!$P41&gt;=S$3),"█",IF(AND(学校マスタ!$R41&lt;&gt;"",学校マスタ!$U41&lt;&gt;"",学校マスタ!$R41&lt;S$3+7,学校マスタ!$U41&gt;=S$3),"▒","")))))</f>
        <v/>
      </c>
      <c r="T43" s="26">
        <f>IF(学校マスタ!$A41="","",IF(AND(学校マスタ!$U41&lt;&gt;"",学校マスタ!$U41&gt;=T$3,学校マスタ!$U41&lt;T$3+7),"◎",IF(OR(AND(学校マスタ!$H41&lt;&gt;"",学校マスタ!$H41&gt;=T$3,学校マスタ!$H41&lt;T$3+7),AND(学校マスタ!$J41&lt;&gt;"",学校マスタ!$J41&gt;=T$3,学校マスタ!$J41&lt;T$3+7),AND(学校マスタ!$L41&lt;&gt;"",学校マスタ!$L41&gt;=T$3,学校マスタ!$L41&lt;T$3+7)),"◆",IF(AND(学校マスタ!$O41&lt;&gt;"",学校マスタ!$P41&lt;&gt;"",学校マスタ!$O41&lt;T$3+7,学校マスタ!$P41&gt;=T$3),"█",IF(AND(学校マスタ!$R41&lt;&gt;"",学校マスタ!$U41&lt;&gt;"",学校マスタ!$R41&lt;T$3+7,学校マスタ!$U41&gt;=T$3),"▒","")))))</f>
        <v/>
      </c>
      <c r="U43" s="26">
        <f>IF(学校マスタ!$A41="","",IF(AND(学校マスタ!$U41&lt;&gt;"",学校マスタ!$U41&gt;=U$3,学校マスタ!$U41&lt;U$3+7),"◎",IF(OR(AND(学校マスタ!$H41&lt;&gt;"",学校マスタ!$H41&gt;=U$3,学校マスタ!$H41&lt;U$3+7),AND(学校マスタ!$J41&lt;&gt;"",学校マスタ!$J41&gt;=U$3,学校マスタ!$J41&lt;U$3+7),AND(学校マスタ!$L41&lt;&gt;"",学校マスタ!$L41&gt;=U$3,学校マスタ!$L41&lt;U$3+7)),"◆",IF(AND(学校マスタ!$O41&lt;&gt;"",学校マスタ!$P41&lt;&gt;"",学校マスタ!$O41&lt;U$3+7,学校マスタ!$P41&gt;=U$3),"█",IF(AND(学校マスタ!$R41&lt;&gt;"",学校マスタ!$U41&lt;&gt;"",学校マスタ!$R41&lt;U$3+7,学校マスタ!$U41&gt;=U$3),"▒","")))))</f>
        <v/>
      </c>
      <c r="V43" s="26">
        <f>IF(学校マスタ!$A41="","",IF(AND(学校マスタ!$U41&lt;&gt;"",学校マスタ!$U41&gt;=V$3,学校マスタ!$U41&lt;V$3+7),"◎",IF(OR(AND(学校マスタ!$H41&lt;&gt;"",学校マスタ!$H41&gt;=V$3,学校マスタ!$H41&lt;V$3+7),AND(学校マスタ!$J41&lt;&gt;"",学校マスタ!$J41&gt;=V$3,学校マスタ!$J41&lt;V$3+7),AND(学校マスタ!$L41&lt;&gt;"",学校マスタ!$L41&gt;=V$3,学校マスタ!$L41&lt;V$3+7)),"◆",IF(AND(学校マスタ!$O41&lt;&gt;"",学校マスタ!$P41&lt;&gt;"",学校マスタ!$O41&lt;V$3+7,学校マスタ!$P41&gt;=V$3),"█",IF(AND(学校マスタ!$R41&lt;&gt;"",学校マスタ!$U41&lt;&gt;"",学校マスタ!$R41&lt;V$3+7,学校マスタ!$U41&gt;=V$3),"▒","")))))</f>
        <v/>
      </c>
      <c r="W43" s="26">
        <f>IF(学校マスタ!$A41="","",IF(AND(学校マスタ!$U41&lt;&gt;"",学校マスタ!$U41&gt;=W$3,学校マスタ!$U41&lt;W$3+7),"◎",IF(OR(AND(学校マスタ!$H41&lt;&gt;"",学校マスタ!$H41&gt;=W$3,学校マスタ!$H41&lt;W$3+7),AND(学校マスタ!$J41&lt;&gt;"",学校マスタ!$J41&gt;=W$3,学校マスタ!$J41&lt;W$3+7),AND(学校マスタ!$L41&lt;&gt;"",学校マスタ!$L41&gt;=W$3,学校マスタ!$L41&lt;W$3+7)),"◆",IF(AND(学校マスタ!$O41&lt;&gt;"",学校マスタ!$P41&lt;&gt;"",学校マスタ!$O41&lt;W$3+7,学校マスタ!$P41&gt;=W$3),"█",IF(AND(学校マスタ!$R41&lt;&gt;"",学校マスタ!$U41&lt;&gt;"",学校マスタ!$R41&lt;W$3+7,学校マスタ!$U41&gt;=W$3),"▒","")))))</f>
        <v/>
      </c>
      <c r="X43" s="26">
        <f>IF(学校マスタ!$A41="","",IF(AND(学校マスタ!$U41&lt;&gt;"",学校マスタ!$U41&gt;=X$3,学校マスタ!$U41&lt;X$3+7),"◎",IF(OR(AND(学校マスタ!$H41&lt;&gt;"",学校マスタ!$H41&gt;=X$3,学校マスタ!$H41&lt;X$3+7),AND(学校マスタ!$J41&lt;&gt;"",学校マスタ!$J41&gt;=X$3,学校マスタ!$J41&lt;X$3+7),AND(学校マスタ!$L41&lt;&gt;"",学校マスタ!$L41&gt;=X$3,学校マスタ!$L41&lt;X$3+7)),"◆",IF(AND(学校マスタ!$O41&lt;&gt;"",学校マスタ!$P41&lt;&gt;"",学校マスタ!$O41&lt;X$3+7,学校マスタ!$P41&gt;=X$3),"█",IF(AND(学校マスタ!$R41&lt;&gt;"",学校マスタ!$U41&lt;&gt;"",学校マスタ!$R41&lt;X$3+7,学校マスタ!$U41&gt;=X$3),"▒","")))))</f>
        <v/>
      </c>
      <c r="Y43" s="26">
        <f>IF(学校マスタ!$A41="","",IF(AND(学校マスタ!$U41&lt;&gt;"",学校マスタ!$U41&gt;=Y$3,学校マスタ!$U41&lt;Y$3+7),"◎",IF(OR(AND(学校マスタ!$H41&lt;&gt;"",学校マスタ!$H41&gt;=Y$3,学校マスタ!$H41&lt;Y$3+7),AND(学校マスタ!$J41&lt;&gt;"",学校マスタ!$J41&gt;=Y$3,学校マスタ!$J41&lt;Y$3+7),AND(学校マスタ!$L41&lt;&gt;"",学校マスタ!$L41&gt;=Y$3,学校マスタ!$L41&lt;Y$3+7)),"◆",IF(AND(学校マスタ!$O41&lt;&gt;"",学校マスタ!$P41&lt;&gt;"",学校マスタ!$O41&lt;Y$3+7,学校マスタ!$P41&gt;=Y$3),"█",IF(AND(学校マスタ!$R41&lt;&gt;"",学校マスタ!$U41&lt;&gt;"",学校マスタ!$R41&lt;Y$3+7,学校マスタ!$U41&gt;=Y$3),"▒","")))))</f>
        <v/>
      </c>
      <c r="Z43" s="26">
        <f>IF(学校マスタ!$A41="","",IF(AND(学校マスタ!$U41&lt;&gt;"",学校マスタ!$U41&gt;=Z$3,学校マスタ!$U41&lt;Z$3+7),"◎",IF(OR(AND(学校マスタ!$H41&lt;&gt;"",学校マスタ!$H41&gt;=Z$3,学校マスタ!$H41&lt;Z$3+7),AND(学校マスタ!$J41&lt;&gt;"",学校マスタ!$J41&gt;=Z$3,学校マスタ!$J41&lt;Z$3+7),AND(学校マスタ!$L41&lt;&gt;"",学校マスタ!$L41&gt;=Z$3,学校マスタ!$L41&lt;Z$3+7)),"◆",IF(AND(学校マスタ!$O41&lt;&gt;"",学校マスタ!$P41&lt;&gt;"",学校マスタ!$O41&lt;Z$3+7,学校マスタ!$P41&gt;=Z$3),"█",IF(AND(学校マスタ!$R41&lt;&gt;"",学校マスタ!$U41&lt;&gt;"",学校マスタ!$R41&lt;Z$3+7,学校マスタ!$U41&gt;=Z$3),"▒","")))))</f>
        <v/>
      </c>
      <c r="AA43" s="26">
        <f>IF(学校マスタ!$A41="","",IF(AND(学校マスタ!$U41&lt;&gt;"",学校マスタ!$U41&gt;=AA$3,学校マスタ!$U41&lt;AA$3+7),"◎",IF(OR(AND(学校マスタ!$H41&lt;&gt;"",学校マスタ!$H41&gt;=AA$3,学校マスタ!$H41&lt;AA$3+7),AND(学校マスタ!$J41&lt;&gt;"",学校マスタ!$J41&gt;=AA$3,学校マスタ!$J41&lt;AA$3+7),AND(学校マスタ!$L41&lt;&gt;"",学校マスタ!$L41&gt;=AA$3,学校マスタ!$L41&lt;AA$3+7)),"◆",IF(AND(学校マスタ!$O41&lt;&gt;"",学校マスタ!$P41&lt;&gt;"",学校マスタ!$O41&lt;AA$3+7,学校マスタ!$P41&gt;=AA$3),"█",IF(AND(学校マスタ!$R41&lt;&gt;"",学校マスタ!$U41&lt;&gt;"",学校マスタ!$R41&lt;AA$3+7,学校マスタ!$U41&gt;=AA$3),"▒","")))))</f>
        <v/>
      </c>
      <c r="AB43" s="26">
        <f>IF(学校マスタ!$A41="","",IF(AND(学校マスタ!$U41&lt;&gt;"",学校マスタ!$U41&gt;=AB$3,学校マスタ!$U41&lt;AB$3+7),"◎",IF(OR(AND(学校マスタ!$H41&lt;&gt;"",学校マスタ!$H41&gt;=AB$3,学校マスタ!$H41&lt;AB$3+7),AND(学校マスタ!$J41&lt;&gt;"",学校マスタ!$J41&gt;=AB$3,学校マスタ!$J41&lt;AB$3+7),AND(学校マスタ!$L41&lt;&gt;"",学校マスタ!$L41&gt;=AB$3,学校マスタ!$L41&lt;AB$3+7)),"◆",IF(AND(学校マスタ!$O41&lt;&gt;"",学校マスタ!$P41&lt;&gt;"",学校マスタ!$O41&lt;AB$3+7,学校マスタ!$P41&gt;=AB$3),"█",IF(AND(学校マスタ!$R41&lt;&gt;"",学校マスタ!$U41&lt;&gt;"",学校マスタ!$R41&lt;AB$3+7,学校マスタ!$U41&gt;=AB$3),"▒","")))))</f>
        <v/>
      </c>
    </row>
    <row r="44">
      <c r="A44" s="19">
        <f>IF(学校マスタ!$A42="","",学校マスタ!$A42)</f>
        <v/>
      </c>
      <c r="B44" s="19">
        <f>IF(学校マスタ!$A42="","",学校マスタ!$C42)</f>
        <v/>
      </c>
      <c r="C44" s="19">
        <f>IF(学校マスタ!$A42="","",学校マスタ!$X42)</f>
        <v/>
      </c>
      <c r="D44" s="25">
        <f>IF(学校マスタ!$A42="","",学校マスタ!$R42)</f>
        <v/>
      </c>
      <c r="E44" s="26">
        <f>IF(学校マスタ!$A42="","",IF(AND(学校マスタ!$U42&lt;&gt;"",学校マスタ!$U42&gt;=E$3,学校マスタ!$U42&lt;E$3+7),"◎",IF(OR(AND(学校マスタ!$H42&lt;&gt;"",学校マスタ!$H42&gt;=E$3,学校マスタ!$H42&lt;E$3+7),AND(学校マスタ!$J42&lt;&gt;"",学校マスタ!$J42&gt;=E$3,学校マスタ!$J42&lt;E$3+7),AND(学校マスタ!$L42&lt;&gt;"",学校マスタ!$L42&gt;=E$3,学校マスタ!$L42&lt;E$3+7)),"◆",IF(AND(学校マスタ!$O42&lt;&gt;"",学校マスタ!$P42&lt;&gt;"",学校マスタ!$O42&lt;E$3+7,学校マスタ!$P42&gt;=E$3),"█",IF(AND(学校マスタ!$R42&lt;&gt;"",学校マスタ!$U42&lt;&gt;"",学校マスタ!$R42&lt;E$3+7,学校マスタ!$U42&gt;=E$3),"▒","")))))</f>
        <v/>
      </c>
      <c r="F44" s="26">
        <f>IF(学校マスタ!$A42="","",IF(AND(学校マスタ!$U42&lt;&gt;"",学校マスタ!$U42&gt;=F$3,学校マスタ!$U42&lt;F$3+7),"◎",IF(OR(AND(学校マスタ!$H42&lt;&gt;"",学校マスタ!$H42&gt;=F$3,学校マスタ!$H42&lt;F$3+7),AND(学校マスタ!$J42&lt;&gt;"",学校マスタ!$J42&gt;=F$3,学校マスタ!$J42&lt;F$3+7),AND(学校マスタ!$L42&lt;&gt;"",学校マスタ!$L42&gt;=F$3,学校マスタ!$L42&lt;F$3+7)),"◆",IF(AND(学校マスタ!$O42&lt;&gt;"",学校マスタ!$P42&lt;&gt;"",学校マスタ!$O42&lt;F$3+7,学校マスタ!$P42&gt;=F$3),"█",IF(AND(学校マスタ!$R42&lt;&gt;"",学校マスタ!$U42&lt;&gt;"",学校マスタ!$R42&lt;F$3+7,学校マスタ!$U42&gt;=F$3),"▒","")))))</f>
        <v/>
      </c>
      <c r="G44" s="26">
        <f>IF(学校マスタ!$A42="","",IF(AND(学校マスタ!$U42&lt;&gt;"",学校マスタ!$U42&gt;=G$3,学校マスタ!$U42&lt;G$3+7),"◎",IF(OR(AND(学校マスタ!$H42&lt;&gt;"",学校マスタ!$H42&gt;=G$3,学校マスタ!$H42&lt;G$3+7),AND(学校マスタ!$J42&lt;&gt;"",学校マスタ!$J42&gt;=G$3,学校マスタ!$J42&lt;G$3+7),AND(学校マスタ!$L42&lt;&gt;"",学校マスタ!$L42&gt;=G$3,学校マスタ!$L42&lt;G$3+7)),"◆",IF(AND(学校マスタ!$O42&lt;&gt;"",学校マスタ!$P42&lt;&gt;"",学校マスタ!$O42&lt;G$3+7,学校マスタ!$P42&gt;=G$3),"█",IF(AND(学校マスタ!$R42&lt;&gt;"",学校マスタ!$U42&lt;&gt;"",学校マスタ!$R42&lt;G$3+7,学校マスタ!$U42&gt;=G$3),"▒","")))))</f>
        <v/>
      </c>
      <c r="H44" s="26">
        <f>IF(学校マスタ!$A42="","",IF(AND(学校マスタ!$U42&lt;&gt;"",学校マスタ!$U42&gt;=H$3,学校マスタ!$U42&lt;H$3+7),"◎",IF(OR(AND(学校マスタ!$H42&lt;&gt;"",学校マスタ!$H42&gt;=H$3,学校マスタ!$H42&lt;H$3+7),AND(学校マスタ!$J42&lt;&gt;"",学校マスタ!$J42&gt;=H$3,学校マスタ!$J42&lt;H$3+7),AND(学校マスタ!$L42&lt;&gt;"",学校マスタ!$L42&gt;=H$3,学校マスタ!$L42&lt;H$3+7)),"◆",IF(AND(学校マスタ!$O42&lt;&gt;"",学校マスタ!$P42&lt;&gt;"",学校マスタ!$O42&lt;H$3+7,学校マスタ!$P42&gt;=H$3),"█",IF(AND(学校マスタ!$R42&lt;&gt;"",学校マスタ!$U42&lt;&gt;"",学校マスタ!$R42&lt;H$3+7,学校マスタ!$U42&gt;=H$3),"▒","")))))</f>
        <v/>
      </c>
      <c r="I44" s="26">
        <f>IF(学校マスタ!$A42="","",IF(AND(学校マスタ!$U42&lt;&gt;"",学校マスタ!$U42&gt;=I$3,学校マスタ!$U42&lt;I$3+7),"◎",IF(OR(AND(学校マスタ!$H42&lt;&gt;"",学校マスタ!$H42&gt;=I$3,学校マスタ!$H42&lt;I$3+7),AND(学校マスタ!$J42&lt;&gt;"",学校マスタ!$J42&gt;=I$3,学校マスタ!$J42&lt;I$3+7),AND(学校マスタ!$L42&lt;&gt;"",学校マスタ!$L42&gt;=I$3,学校マスタ!$L42&lt;I$3+7)),"◆",IF(AND(学校マスタ!$O42&lt;&gt;"",学校マスタ!$P42&lt;&gt;"",学校マスタ!$O42&lt;I$3+7,学校マスタ!$P42&gt;=I$3),"█",IF(AND(学校マスタ!$R42&lt;&gt;"",学校マスタ!$U42&lt;&gt;"",学校マスタ!$R42&lt;I$3+7,学校マスタ!$U42&gt;=I$3),"▒","")))))</f>
        <v/>
      </c>
      <c r="J44" s="26">
        <f>IF(学校マスタ!$A42="","",IF(AND(学校マスタ!$U42&lt;&gt;"",学校マスタ!$U42&gt;=J$3,学校マスタ!$U42&lt;J$3+7),"◎",IF(OR(AND(学校マスタ!$H42&lt;&gt;"",学校マスタ!$H42&gt;=J$3,学校マスタ!$H42&lt;J$3+7),AND(学校マスタ!$J42&lt;&gt;"",学校マスタ!$J42&gt;=J$3,学校マスタ!$J42&lt;J$3+7),AND(学校マスタ!$L42&lt;&gt;"",学校マスタ!$L42&gt;=J$3,学校マスタ!$L42&lt;J$3+7)),"◆",IF(AND(学校マスタ!$O42&lt;&gt;"",学校マスタ!$P42&lt;&gt;"",学校マスタ!$O42&lt;J$3+7,学校マスタ!$P42&gt;=J$3),"█",IF(AND(学校マスタ!$R42&lt;&gt;"",学校マスタ!$U42&lt;&gt;"",学校マスタ!$R42&lt;J$3+7,学校マスタ!$U42&gt;=J$3),"▒","")))))</f>
        <v/>
      </c>
      <c r="K44" s="26">
        <f>IF(学校マスタ!$A42="","",IF(AND(学校マスタ!$U42&lt;&gt;"",学校マスタ!$U42&gt;=K$3,学校マスタ!$U42&lt;K$3+7),"◎",IF(OR(AND(学校マスタ!$H42&lt;&gt;"",学校マスタ!$H42&gt;=K$3,学校マスタ!$H42&lt;K$3+7),AND(学校マスタ!$J42&lt;&gt;"",学校マスタ!$J42&gt;=K$3,学校マスタ!$J42&lt;K$3+7),AND(学校マスタ!$L42&lt;&gt;"",学校マスタ!$L42&gt;=K$3,学校マスタ!$L42&lt;K$3+7)),"◆",IF(AND(学校マスタ!$O42&lt;&gt;"",学校マスタ!$P42&lt;&gt;"",学校マスタ!$O42&lt;K$3+7,学校マスタ!$P42&gt;=K$3),"█",IF(AND(学校マスタ!$R42&lt;&gt;"",学校マスタ!$U42&lt;&gt;"",学校マスタ!$R42&lt;K$3+7,学校マスタ!$U42&gt;=K$3),"▒","")))))</f>
        <v/>
      </c>
      <c r="L44" s="26">
        <f>IF(学校マスタ!$A42="","",IF(AND(学校マスタ!$U42&lt;&gt;"",学校マスタ!$U42&gt;=L$3,学校マスタ!$U42&lt;L$3+7),"◎",IF(OR(AND(学校マスタ!$H42&lt;&gt;"",学校マスタ!$H42&gt;=L$3,学校マスタ!$H42&lt;L$3+7),AND(学校マスタ!$J42&lt;&gt;"",学校マスタ!$J42&gt;=L$3,学校マスタ!$J42&lt;L$3+7),AND(学校マスタ!$L42&lt;&gt;"",学校マスタ!$L42&gt;=L$3,学校マスタ!$L42&lt;L$3+7)),"◆",IF(AND(学校マスタ!$O42&lt;&gt;"",学校マスタ!$P42&lt;&gt;"",学校マスタ!$O42&lt;L$3+7,学校マスタ!$P42&gt;=L$3),"█",IF(AND(学校マスタ!$R42&lt;&gt;"",学校マスタ!$U42&lt;&gt;"",学校マスタ!$R42&lt;L$3+7,学校マスタ!$U42&gt;=L$3),"▒","")))))</f>
        <v/>
      </c>
      <c r="M44" s="26">
        <f>IF(学校マスタ!$A42="","",IF(AND(学校マスタ!$U42&lt;&gt;"",学校マスタ!$U42&gt;=M$3,学校マスタ!$U42&lt;M$3+7),"◎",IF(OR(AND(学校マスタ!$H42&lt;&gt;"",学校マスタ!$H42&gt;=M$3,学校マスタ!$H42&lt;M$3+7),AND(学校マスタ!$J42&lt;&gt;"",学校マスタ!$J42&gt;=M$3,学校マスタ!$J42&lt;M$3+7),AND(学校マスタ!$L42&lt;&gt;"",学校マスタ!$L42&gt;=M$3,学校マスタ!$L42&lt;M$3+7)),"◆",IF(AND(学校マスタ!$O42&lt;&gt;"",学校マスタ!$P42&lt;&gt;"",学校マスタ!$O42&lt;M$3+7,学校マスタ!$P42&gt;=M$3),"█",IF(AND(学校マスタ!$R42&lt;&gt;"",学校マスタ!$U42&lt;&gt;"",学校マスタ!$R42&lt;M$3+7,学校マスタ!$U42&gt;=M$3),"▒","")))))</f>
        <v/>
      </c>
      <c r="N44" s="26">
        <f>IF(学校マスタ!$A42="","",IF(AND(学校マスタ!$U42&lt;&gt;"",学校マスタ!$U42&gt;=N$3,学校マスタ!$U42&lt;N$3+7),"◎",IF(OR(AND(学校マスタ!$H42&lt;&gt;"",学校マスタ!$H42&gt;=N$3,学校マスタ!$H42&lt;N$3+7),AND(学校マスタ!$J42&lt;&gt;"",学校マスタ!$J42&gt;=N$3,学校マスタ!$J42&lt;N$3+7),AND(学校マスタ!$L42&lt;&gt;"",学校マスタ!$L42&gt;=N$3,学校マスタ!$L42&lt;N$3+7)),"◆",IF(AND(学校マスタ!$O42&lt;&gt;"",学校マスタ!$P42&lt;&gt;"",学校マスタ!$O42&lt;N$3+7,学校マスタ!$P42&gt;=N$3),"█",IF(AND(学校マスタ!$R42&lt;&gt;"",学校マスタ!$U42&lt;&gt;"",学校マスタ!$R42&lt;N$3+7,学校マスタ!$U42&gt;=N$3),"▒","")))))</f>
        <v/>
      </c>
      <c r="O44" s="26">
        <f>IF(学校マスタ!$A42="","",IF(AND(学校マスタ!$U42&lt;&gt;"",学校マスタ!$U42&gt;=O$3,学校マスタ!$U42&lt;O$3+7),"◎",IF(OR(AND(学校マスタ!$H42&lt;&gt;"",学校マスタ!$H42&gt;=O$3,学校マスタ!$H42&lt;O$3+7),AND(学校マスタ!$J42&lt;&gt;"",学校マスタ!$J42&gt;=O$3,学校マスタ!$J42&lt;O$3+7),AND(学校マスタ!$L42&lt;&gt;"",学校マスタ!$L42&gt;=O$3,学校マスタ!$L42&lt;O$3+7)),"◆",IF(AND(学校マスタ!$O42&lt;&gt;"",学校マスタ!$P42&lt;&gt;"",学校マスタ!$O42&lt;O$3+7,学校マスタ!$P42&gt;=O$3),"█",IF(AND(学校マスタ!$R42&lt;&gt;"",学校マスタ!$U42&lt;&gt;"",学校マスタ!$R42&lt;O$3+7,学校マスタ!$U42&gt;=O$3),"▒","")))))</f>
        <v/>
      </c>
      <c r="P44" s="26">
        <f>IF(学校マスタ!$A42="","",IF(AND(学校マスタ!$U42&lt;&gt;"",学校マスタ!$U42&gt;=P$3,学校マスタ!$U42&lt;P$3+7),"◎",IF(OR(AND(学校マスタ!$H42&lt;&gt;"",学校マスタ!$H42&gt;=P$3,学校マスタ!$H42&lt;P$3+7),AND(学校マスタ!$J42&lt;&gt;"",学校マスタ!$J42&gt;=P$3,学校マスタ!$J42&lt;P$3+7),AND(学校マスタ!$L42&lt;&gt;"",学校マスタ!$L42&gt;=P$3,学校マスタ!$L42&lt;P$3+7)),"◆",IF(AND(学校マスタ!$O42&lt;&gt;"",学校マスタ!$P42&lt;&gt;"",学校マスタ!$O42&lt;P$3+7,学校マスタ!$P42&gt;=P$3),"█",IF(AND(学校マスタ!$R42&lt;&gt;"",学校マスタ!$U42&lt;&gt;"",学校マスタ!$R42&lt;P$3+7,学校マスタ!$U42&gt;=P$3),"▒","")))))</f>
        <v/>
      </c>
      <c r="Q44" s="26">
        <f>IF(学校マスタ!$A42="","",IF(AND(学校マスタ!$U42&lt;&gt;"",学校マスタ!$U42&gt;=Q$3,学校マスタ!$U42&lt;Q$3+7),"◎",IF(OR(AND(学校マスタ!$H42&lt;&gt;"",学校マスタ!$H42&gt;=Q$3,学校マスタ!$H42&lt;Q$3+7),AND(学校マスタ!$J42&lt;&gt;"",学校マスタ!$J42&gt;=Q$3,学校マスタ!$J42&lt;Q$3+7),AND(学校マスタ!$L42&lt;&gt;"",学校マスタ!$L42&gt;=Q$3,学校マスタ!$L42&lt;Q$3+7)),"◆",IF(AND(学校マスタ!$O42&lt;&gt;"",学校マスタ!$P42&lt;&gt;"",学校マスタ!$O42&lt;Q$3+7,学校マスタ!$P42&gt;=Q$3),"█",IF(AND(学校マスタ!$R42&lt;&gt;"",学校マスタ!$U42&lt;&gt;"",学校マスタ!$R42&lt;Q$3+7,学校マスタ!$U42&gt;=Q$3),"▒","")))))</f>
        <v/>
      </c>
      <c r="R44" s="26">
        <f>IF(学校マスタ!$A42="","",IF(AND(学校マスタ!$U42&lt;&gt;"",学校マスタ!$U42&gt;=R$3,学校マスタ!$U42&lt;R$3+7),"◎",IF(OR(AND(学校マスタ!$H42&lt;&gt;"",学校マスタ!$H42&gt;=R$3,学校マスタ!$H42&lt;R$3+7),AND(学校マスタ!$J42&lt;&gt;"",学校マスタ!$J42&gt;=R$3,学校マスタ!$J42&lt;R$3+7),AND(学校マスタ!$L42&lt;&gt;"",学校マスタ!$L42&gt;=R$3,学校マスタ!$L42&lt;R$3+7)),"◆",IF(AND(学校マスタ!$O42&lt;&gt;"",学校マスタ!$P42&lt;&gt;"",学校マスタ!$O42&lt;R$3+7,学校マスタ!$P42&gt;=R$3),"█",IF(AND(学校マスタ!$R42&lt;&gt;"",学校マスタ!$U42&lt;&gt;"",学校マスタ!$R42&lt;R$3+7,学校マスタ!$U42&gt;=R$3),"▒","")))))</f>
        <v/>
      </c>
      <c r="S44" s="26">
        <f>IF(学校マスタ!$A42="","",IF(AND(学校マスタ!$U42&lt;&gt;"",学校マスタ!$U42&gt;=S$3,学校マスタ!$U42&lt;S$3+7),"◎",IF(OR(AND(学校マスタ!$H42&lt;&gt;"",学校マスタ!$H42&gt;=S$3,学校マスタ!$H42&lt;S$3+7),AND(学校マスタ!$J42&lt;&gt;"",学校マスタ!$J42&gt;=S$3,学校マスタ!$J42&lt;S$3+7),AND(学校マスタ!$L42&lt;&gt;"",学校マスタ!$L42&gt;=S$3,学校マスタ!$L42&lt;S$3+7)),"◆",IF(AND(学校マスタ!$O42&lt;&gt;"",学校マスタ!$P42&lt;&gt;"",学校マスタ!$O42&lt;S$3+7,学校マスタ!$P42&gt;=S$3),"█",IF(AND(学校マスタ!$R42&lt;&gt;"",学校マスタ!$U42&lt;&gt;"",学校マスタ!$R42&lt;S$3+7,学校マスタ!$U42&gt;=S$3),"▒","")))))</f>
        <v/>
      </c>
      <c r="T44" s="26">
        <f>IF(学校マスタ!$A42="","",IF(AND(学校マスタ!$U42&lt;&gt;"",学校マスタ!$U42&gt;=T$3,学校マスタ!$U42&lt;T$3+7),"◎",IF(OR(AND(学校マスタ!$H42&lt;&gt;"",学校マスタ!$H42&gt;=T$3,学校マスタ!$H42&lt;T$3+7),AND(学校マスタ!$J42&lt;&gt;"",学校マスタ!$J42&gt;=T$3,学校マスタ!$J42&lt;T$3+7),AND(学校マスタ!$L42&lt;&gt;"",学校マスタ!$L42&gt;=T$3,学校マスタ!$L42&lt;T$3+7)),"◆",IF(AND(学校マスタ!$O42&lt;&gt;"",学校マスタ!$P42&lt;&gt;"",学校マスタ!$O42&lt;T$3+7,学校マスタ!$P42&gt;=T$3),"█",IF(AND(学校マスタ!$R42&lt;&gt;"",学校マスタ!$U42&lt;&gt;"",学校マスタ!$R42&lt;T$3+7,学校マスタ!$U42&gt;=T$3),"▒","")))))</f>
        <v/>
      </c>
      <c r="U44" s="26">
        <f>IF(学校マスタ!$A42="","",IF(AND(学校マスタ!$U42&lt;&gt;"",学校マスタ!$U42&gt;=U$3,学校マスタ!$U42&lt;U$3+7),"◎",IF(OR(AND(学校マスタ!$H42&lt;&gt;"",学校マスタ!$H42&gt;=U$3,学校マスタ!$H42&lt;U$3+7),AND(学校マスタ!$J42&lt;&gt;"",学校マスタ!$J42&gt;=U$3,学校マスタ!$J42&lt;U$3+7),AND(学校マスタ!$L42&lt;&gt;"",学校マスタ!$L42&gt;=U$3,学校マスタ!$L42&lt;U$3+7)),"◆",IF(AND(学校マスタ!$O42&lt;&gt;"",学校マスタ!$P42&lt;&gt;"",学校マスタ!$O42&lt;U$3+7,学校マスタ!$P42&gt;=U$3),"█",IF(AND(学校マスタ!$R42&lt;&gt;"",学校マスタ!$U42&lt;&gt;"",学校マスタ!$R42&lt;U$3+7,学校マスタ!$U42&gt;=U$3),"▒","")))))</f>
        <v/>
      </c>
      <c r="V44" s="26">
        <f>IF(学校マスタ!$A42="","",IF(AND(学校マスタ!$U42&lt;&gt;"",学校マスタ!$U42&gt;=V$3,学校マスタ!$U42&lt;V$3+7),"◎",IF(OR(AND(学校マスタ!$H42&lt;&gt;"",学校マスタ!$H42&gt;=V$3,学校マスタ!$H42&lt;V$3+7),AND(学校マスタ!$J42&lt;&gt;"",学校マスタ!$J42&gt;=V$3,学校マスタ!$J42&lt;V$3+7),AND(学校マスタ!$L42&lt;&gt;"",学校マスタ!$L42&gt;=V$3,学校マスタ!$L42&lt;V$3+7)),"◆",IF(AND(学校マスタ!$O42&lt;&gt;"",学校マスタ!$P42&lt;&gt;"",学校マスタ!$O42&lt;V$3+7,学校マスタ!$P42&gt;=V$3),"█",IF(AND(学校マスタ!$R42&lt;&gt;"",学校マスタ!$U42&lt;&gt;"",学校マスタ!$R42&lt;V$3+7,学校マスタ!$U42&gt;=V$3),"▒","")))))</f>
        <v/>
      </c>
      <c r="W44" s="26">
        <f>IF(学校マスタ!$A42="","",IF(AND(学校マスタ!$U42&lt;&gt;"",学校マスタ!$U42&gt;=W$3,学校マスタ!$U42&lt;W$3+7),"◎",IF(OR(AND(学校マスタ!$H42&lt;&gt;"",学校マスタ!$H42&gt;=W$3,学校マスタ!$H42&lt;W$3+7),AND(学校マスタ!$J42&lt;&gt;"",学校マスタ!$J42&gt;=W$3,学校マスタ!$J42&lt;W$3+7),AND(学校マスタ!$L42&lt;&gt;"",学校マスタ!$L42&gt;=W$3,学校マスタ!$L42&lt;W$3+7)),"◆",IF(AND(学校マスタ!$O42&lt;&gt;"",学校マスタ!$P42&lt;&gt;"",学校マスタ!$O42&lt;W$3+7,学校マスタ!$P42&gt;=W$3),"█",IF(AND(学校マスタ!$R42&lt;&gt;"",学校マスタ!$U42&lt;&gt;"",学校マスタ!$R42&lt;W$3+7,学校マスタ!$U42&gt;=W$3),"▒","")))))</f>
        <v/>
      </c>
      <c r="X44" s="26">
        <f>IF(学校マスタ!$A42="","",IF(AND(学校マスタ!$U42&lt;&gt;"",学校マスタ!$U42&gt;=X$3,学校マスタ!$U42&lt;X$3+7),"◎",IF(OR(AND(学校マスタ!$H42&lt;&gt;"",学校マスタ!$H42&gt;=X$3,学校マスタ!$H42&lt;X$3+7),AND(学校マスタ!$J42&lt;&gt;"",学校マスタ!$J42&gt;=X$3,学校マスタ!$J42&lt;X$3+7),AND(学校マスタ!$L42&lt;&gt;"",学校マスタ!$L42&gt;=X$3,学校マスタ!$L42&lt;X$3+7)),"◆",IF(AND(学校マスタ!$O42&lt;&gt;"",学校マスタ!$P42&lt;&gt;"",学校マスタ!$O42&lt;X$3+7,学校マスタ!$P42&gt;=X$3),"█",IF(AND(学校マスタ!$R42&lt;&gt;"",学校マスタ!$U42&lt;&gt;"",学校マスタ!$R42&lt;X$3+7,学校マスタ!$U42&gt;=X$3),"▒","")))))</f>
        <v/>
      </c>
      <c r="Y44" s="26">
        <f>IF(学校マスタ!$A42="","",IF(AND(学校マスタ!$U42&lt;&gt;"",学校マスタ!$U42&gt;=Y$3,学校マスタ!$U42&lt;Y$3+7),"◎",IF(OR(AND(学校マスタ!$H42&lt;&gt;"",学校マスタ!$H42&gt;=Y$3,学校マスタ!$H42&lt;Y$3+7),AND(学校マスタ!$J42&lt;&gt;"",学校マスタ!$J42&gt;=Y$3,学校マスタ!$J42&lt;Y$3+7),AND(学校マスタ!$L42&lt;&gt;"",学校マスタ!$L42&gt;=Y$3,学校マスタ!$L42&lt;Y$3+7)),"◆",IF(AND(学校マスタ!$O42&lt;&gt;"",学校マスタ!$P42&lt;&gt;"",学校マスタ!$O42&lt;Y$3+7,学校マスタ!$P42&gt;=Y$3),"█",IF(AND(学校マスタ!$R42&lt;&gt;"",学校マスタ!$U42&lt;&gt;"",学校マスタ!$R42&lt;Y$3+7,学校マスタ!$U42&gt;=Y$3),"▒","")))))</f>
        <v/>
      </c>
      <c r="Z44" s="26">
        <f>IF(学校マスタ!$A42="","",IF(AND(学校マスタ!$U42&lt;&gt;"",学校マスタ!$U42&gt;=Z$3,学校マスタ!$U42&lt;Z$3+7),"◎",IF(OR(AND(学校マスタ!$H42&lt;&gt;"",学校マスタ!$H42&gt;=Z$3,学校マスタ!$H42&lt;Z$3+7),AND(学校マスタ!$J42&lt;&gt;"",学校マスタ!$J42&gt;=Z$3,学校マスタ!$J42&lt;Z$3+7),AND(学校マスタ!$L42&lt;&gt;"",学校マスタ!$L42&gt;=Z$3,学校マスタ!$L42&lt;Z$3+7)),"◆",IF(AND(学校マスタ!$O42&lt;&gt;"",学校マスタ!$P42&lt;&gt;"",学校マスタ!$O42&lt;Z$3+7,学校マスタ!$P42&gt;=Z$3),"█",IF(AND(学校マスタ!$R42&lt;&gt;"",学校マスタ!$U42&lt;&gt;"",学校マスタ!$R42&lt;Z$3+7,学校マスタ!$U42&gt;=Z$3),"▒","")))))</f>
        <v/>
      </c>
      <c r="AA44" s="26">
        <f>IF(学校マスタ!$A42="","",IF(AND(学校マスタ!$U42&lt;&gt;"",学校マスタ!$U42&gt;=AA$3,学校マスタ!$U42&lt;AA$3+7),"◎",IF(OR(AND(学校マスタ!$H42&lt;&gt;"",学校マスタ!$H42&gt;=AA$3,学校マスタ!$H42&lt;AA$3+7),AND(学校マスタ!$J42&lt;&gt;"",学校マスタ!$J42&gt;=AA$3,学校マスタ!$J42&lt;AA$3+7),AND(学校マスタ!$L42&lt;&gt;"",学校マスタ!$L42&gt;=AA$3,学校マスタ!$L42&lt;AA$3+7)),"◆",IF(AND(学校マスタ!$O42&lt;&gt;"",学校マスタ!$P42&lt;&gt;"",学校マスタ!$O42&lt;AA$3+7,学校マスタ!$P42&gt;=AA$3),"█",IF(AND(学校マスタ!$R42&lt;&gt;"",学校マスタ!$U42&lt;&gt;"",学校マスタ!$R42&lt;AA$3+7,学校マスタ!$U42&gt;=AA$3),"▒","")))))</f>
        <v/>
      </c>
      <c r="AB44" s="26">
        <f>IF(学校マスタ!$A42="","",IF(AND(学校マスタ!$U42&lt;&gt;"",学校マスタ!$U42&gt;=AB$3,学校マスタ!$U42&lt;AB$3+7),"◎",IF(OR(AND(学校マスタ!$H42&lt;&gt;"",学校マスタ!$H42&gt;=AB$3,学校マスタ!$H42&lt;AB$3+7),AND(学校マスタ!$J42&lt;&gt;"",学校マスタ!$J42&gt;=AB$3,学校マスタ!$J42&lt;AB$3+7),AND(学校マスタ!$L42&lt;&gt;"",学校マスタ!$L42&gt;=AB$3,学校マスタ!$L42&lt;AB$3+7)),"◆",IF(AND(学校マスタ!$O42&lt;&gt;"",学校マスタ!$P42&lt;&gt;"",学校マスタ!$O42&lt;AB$3+7,学校マスタ!$P42&gt;=AB$3),"█",IF(AND(学校マスタ!$R42&lt;&gt;"",学校マスタ!$U42&lt;&gt;"",学校マスタ!$R42&lt;AB$3+7,学校マスタ!$U42&gt;=AB$3),"▒","")))))</f>
        <v/>
      </c>
    </row>
    <row r="45">
      <c r="A45" s="19">
        <f>IF(学校マスタ!$A43="","",学校マスタ!$A43)</f>
        <v/>
      </c>
      <c r="B45" s="19">
        <f>IF(学校マスタ!$A43="","",学校マスタ!$C43)</f>
        <v/>
      </c>
      <c r="C45" s="19">
        <f>IF(学校マスタ!$A43="","",学校マスタ!$X43)</f>
        <v/>
      </c>
      <c r="D45" s="25">
        <f>IF(学校マスタ!$A43="","",学校マスタ!$R43)</f>
        <v/>
      </c>
      <c r="E45" s="26">
        <f>IF(学校マスタ!$A43="","",IF(AND(学校マスタ!$U43&lt;&gt;"",学校マスタ!$U43&gt;=E$3,学校マスタ!$U43&lt;E$3+7),"◎",IF(OR(AND(学校マスタ!$H43&lt;&gt;"",学校マスタ!$H43&gt;=E$3,学校マスタ!$H43&lt;E$3+7),AND(学校マスタ!$J43&lt;&gt;"",学校マスタ!$J43&gt;=E$3,学校マスタ!$J43&lt;E$3+7),AND(学校マスタ!$L43&lt;&gt;"",学校マスタ!$L43&gt;=E$3,学校マスタ!$L43&lt;E$3+7)),"◆",IF(AND(学校マスタ!$O43&lt;&gt;"",学校マスタ!$P43&lt;&gt;"",学校マスタ!$O43&lt;E$3+7,学校マスタ!$P43&gt;=E$3),"█",IF(AND(学校マスタ!$R43&lt;&gt;"",学校マスタ!$U43&lt;&gt;"",学校マスタ!$R43&lt;E$3+7,学校マスタ!$U43&gt;=E$3),"▒","")))))</f>
        <v/>
      </c>
      <c r="F45" s="26">
        <f>IF(学校マスタ!$A43="","",IF(AND(学校マスタ!$U43&lt;&gt;"",学校マスタ!$U43&gt;=F$3,学校マスタ!$U43&lt;F$3+7),"◎",IF(OR(AND(学校マスタ!$H43&lt;&gt;"",学校マスタ!$H43&gt;=F$3,学校マスタ!$H43&lt;F$3+7),AND(学校マスタ!$J43&lt;&gt;"",学校マスタ!$J43&gt;=F$3,学校マスタ!$J43&lt;F$3+7),AND(学校マスタ!$L43&lt;&gt;"",学校マスタ!$L43&gt;=F$3,学校マスタ!$L43&lt;F$3+7)),"◆",IF(AND(学校マスタ!$O43&lt;&gt;"",学校マスタ!$P43&lt;&gt;"",学校マスタ!$O43&lt;F$3+7,学校マスタ!$P43&gt;=F$3),"█",IF(AND(学校マスタ!$R43&lt;&gt;"",学校マスタ!$U43&lt;&gt;"",学校マスタ!$R43&lt;F$3+7,学校マスタ!$U43&gt;=F$3),"▒","")))))</f>
        <v/>
      </c>
      <c r="G45" s="26">
        <f>IF(学校マスタ!$A43="","",IF(AND(学校マスタ!$U43&lt;&gt;"",学校マスタ!$U43&gt;=G$3,学校マスタ!$U43&lt;G$3+7),"◎",IF(OR(AND(学校マスタ!$H43&lt;&gt;"",学校マスタ!$H43&gt;=G$3,学校マスタ!$H43&lt;G$3+7),AND(学校マスタ!$J43&lt;&gt;"",学校マスタ!$J43&gt;=G$3,学校マスタ!$J43&lt;G$3+7),AND(学校マスタ!$L43&lt;&gt;"",学校マスタ!$L43&gt;=G$3,学校マスタ!$L43&lt;G$3+7)),"◆",IF(AND(学校マスタ!$O43&lt;&gt;"",学校マスタ!$P43&lt;&gt;"",学校マスタ!$O43&lt;G$3+7,学校マスタ!$P43&gt;=G$3),"█",IF(AND(学校マスタ!$R43&lt;&gt;"",学校マスタ!$U43&lt;&gt;"",学校マスタ!$R43&lt;G$3+7,学校マスタ!$U43&gt;=G$3),"▒","")))))</f>
        <v/>
      </c>
      <c r="H45" s="26">
        <f>IF(学校マスタ!$A43="","",IF(AND(学校マスタ!$U43&lt;&gt;"",学校マスタ!$U43&gt;=H$3,学校マスタ!$U43&lt;H$3+7),"◎",IF(OR(AND(学校マスタ!$H43&lt;&gt;"",学校マスタ!$H43&gt;=H$3,学校マスタ!$H43&lt;H$3+7),AND(学校マスタ!$J43&lt;&gt;"",学校マスタ!$J43&gt;=H$3,学校マスタ!$J43&lt;H$3+7),AND(学校マスタ!$L43&lt;&gt;"",学校マスタ!$L43&gt;=H$3,学校マスタ!$L43&lt;H$3+7)),"◆",IF(AND(学校マスタ!$O43&lt;&gt;"",学校マスタ!$P43&lt;&gt;"",学校マスタ!$O43&lt;H$3+7,学校マスタ!$P43&gt;=H$3),"█",IF(AND(学校マスタ!$R43&lt;&gt;"",学校マスタ!$U43&lt;&gt;"",学校マスタ!$R43&lt;H$3+7,学校マスタ!$U43&gt;=H$3),"▒","")))))</f>
        <v/>
      </c>
      <c r="I45" s="26">
        <f>IF(学校マスタ!$A43="","",IF(AND(学校マスタ!$U43&lt;&gt;"",学校マスタ!$U43&gt;=I$3,学校マスタ!$U43&lt;I$3+7),"◎",IF(OR(AND(学校マスタ!$H43&lt;&gt;"",学校マスタ!$H43&gt;=I$3,学校マスタ!$H43&lt;I$3+7),AND(学校マスタ!$J43&lt;&gt;"",学校マスタ!$J43&gt;=I$3,学校マスタ!$J43&lt;I$3+7),AND(学校マスタ!$L43&lt;&gt;"",学校マスタ!$L43&gt;=I$3,学校マスタ!$L43&lt;I$3+7)),"◆",IF(AND(学校マスタ!$O43&lt;&gt;"",学校マスタ!$P43&lt;&gt;"",学校マスタ!$O43&lt;I$3+7,学校マスタ!$P43&gt;=I$3),"█",IF(AND(学校マスタ!$R43&lt;&gt;"",学校マスタ!$U43&lt;&gt;"",学校マスタ!$R43&lt;I$3+7,学校マスタ!$U43&gt;=I$3),"▒","")))))</f>
        <v/>
      </c>
      <c r="J45" s="26">
        <f>IF(学校マスタ!$A43="","",IF(AND(学校マスタ!$U43&lt;&gt;"",学校マスタ!$U43&gt;=J$3,学校マスタ!$U43&lt;J$3+7),"◎",IF(OR(AND(学校マスタ!$H43&lt;&gt;"",学校マスタ!$H43&gt;=J$3,学校マスタ!$H43&lt;J$3+7),AND(学校マスタ!$J43&lt;&gt;"",学校マスタ!$J43&gt;=J$3,学校マスタ!$J43&lt;J$3+7),AND(学校マスタ!$L43&lt;&gt;"",学校マスタ!$L43&gt;=J$3,学校マスタ!$L43&lt;J$3+7)),"◆",IF(AND(学校マスタ!$O43&lt;&gt;"",学校マスタ!$P43&lt;&gt;"",学校マスタ!$O43&lt;J$3+7,学校マスタ!$P43&gt;=J$3),"█",IF(AND(学校マスタ!$R43&lt;&gt;"",学校マスタ!$U43&lt;&gt;"",学校マスタ!$R43&lt;J$3+7,学校マスタ!$U43&gt;=J$3),"▒","")))))</f>
        <v/>
      </c>
      <c r="K45" s="26">
        <f>IF(学校マスタ!$A43="","",IF(AND(学校マスタ!$U43&lt;&gt;"",学校マスタ!$U43&gt;=K$3,学校マスタ!$U43&lt;K$3+7),"◎",IF(OR(AND(学校マスタ!$H43&lt;&gt;"",学校マスタ!$H43&gt;=K$3,学校マスタ!$H43&lt;K$3+7),AND(学校マスタ!$J43&lt;&gt;"",学校マスタ!$J43&gt;=K$3,学校マスタ!$J43&lt;K$3+7),AND(学校マスタ!$L43&lt;&gt;"",学校マスタ!$L43&gt;=K$3,学校マスタ!$L43&lt;K$3+7)),"◆",IF(AND(学校マスタ!$O43&lt;&gt;"",学校マスタ!$P43&lt;&gt;"",学校マスタ!$O43&lt;K$3+7,学校マスタ!$P43&gt;=K$3),"█",IF(AND(学校マスタ!$R43&lt;&gt;"",学校マスタ!$U43&lt;&gt;"",学校マスタ!$R43&lt;K$3+7,学校マスタ!$U43&gt;=K$3),"▒","")))))</f>
        <v/>
      </c>
      <c r="L45" s="26">
        <f>IF(学校マスタ!$A43="","",IF(AND(学校マスタ!$U43&lt;&gt;"",学校マスタ!$U43&gt;=L$3,学校マスタ!$U43&lt;L$3+7),"◎",IF(OR(AND(学校マスタ!$H43&lt;&gt;"",学校マスタ!$H43&gt;=L$3,学校マスタ!$H43&lt;L$3+7),AND(学校マスタ!$J43&lt;&gt;"",学校マスタ!$J43&gt;=L$3,学校マスタ!$J43&lt;L$3+7),AND(学校マスタ!$L43&lt;&gt;"",学校マスタ!$L43&gt;=L$3,学校マスタ!$L43&lt;L$3+7)),"◆",IF(AND(学校マスタ!$O43&lt;&gt;"",学校マスタ!$P43&lt;&gt;"",学校マスタ!$O43&lt;L$3+7,学校マスタ!$P43&gt;=L$3),"█",IF(AND(学校マスタ!$R43&lt;&gt;"",学校マスタ!$U43&lt;&gt;"",学校マスタ!$R43&lt;L$3+7,学校マスタ!$U43&gt;=L$3),"▒","")))))</f>
        <v/>
      </c>
      <c r="M45" s="26">
        <f>IF(学校マスタ!$A43="","",IF(AND(学校マスタ!$U43&lt;&gt;"",学校マスタ!$U43&gt;=M$3,学校マスタ!$U43&lt;M$3+7),"◎",IF(OR(AND(学校マスタ!$H43&lt;&gt;"",学校マスタ!$H43&gt;=M$3,学校マスタ!$H43&lt;M$3+7),AND(学校マスタ!$J43&lt;&gt;"",学校マスタ!$J43&gt;=M$3,学校マスタ!$J43&lt;M$3+7),AND(学校マスタ!$L43&lt;&gt;"",学校マスタ!$L43&gt;=M$3,学校マスタ!$L43&lt;M$3+7)),"◆",IF(AND(学校マスタ!$O43&lt;&gt;"",学校マスタ!$P43&lt;&gt;"",学校マスタ!$O43&lt;M$3+7,学校マスタ!$P43&gt;=M$3),"█",IF(AND(学校マスタ!$R43&lt;&gt;"",学校マスタ!$U43&lt;&gt;"",学校マスタ!$R43&lt;M$3+7,学校マスタ!$U43&gt;=M$3),"▒","")))))</f>
        <v/>
      </c>
      <c r="N45" s="26">
        <f>IF(学校マスタ!$A43="","",IF(AND(学校マスタ!$U43&lt;&gt;"",学校マスタ!$U43&gt;=N$3,学校マスタ!$U43&lt;N$3+7),"◎",IF(OR(AND(学校マスタ!$H43&lt;&gt;"",学校マスタ!$H43&gt;=N$3,学校マスタ!$H43&lt;N$3+7),AND(学校マスタ!$J43&lt;&gt;"",学校マスタ!$J43&gt;=N$3,学校マスタ!$J43&lt;N$3+7),AND(学校マスタ!$L43&lt;&gt;"",学校マスタ!$L43&gt;=N$3,学校マスタ!$L43&lt;N$3+7)),"◆",IF(AND(学校マスタ!$O43&lt;&gt;"",学校マスタ!$P43&lt;&gt;"",学校マスタ!$O43&lt;N$3+7,学校マスタ!$P43&gt;=N$3),"█",IF(AND(学校マスタ!$R43&lt;&gt;"",学校マスタ!$U43&lt;&gt;"",学校マスタ!$R43&lt;N$3+7,学校マスタ!$U43&gt;=N$3),"▒","")))))</f>
        <v/>
      </c>
      <c r="O45" s="26">
        <f>IF(学校マスタ!$A43="","",IF(AND(学校マスタ!$U43&lt;&gt;"",学校マスタ!$U43&gt;=O$3,学校マスタ!$U43&lt;O$3+7),"◎",IF(OR(AND(学校マスタ!$H43&lt;&gt;"",学校マスタ!$H43&gt;=O$3,学校マスタ!$H43&lt;O$3+7),AND(学校マスタ!$J43&lt;&gt;"",学校マスタ!$J43&gt;=O$3,学校マスタ!$J43&lt;O$3+7),AND(学校マスタ!$L43&lt;&gt;"",学校マスタ!$L43&gt;=O$3,学校マスタ!$L43&lt;O$3+7)),"◆",IF(AND(学校マスタ!$O43&lt;&gt;"",学校マスタ!$P43&lt;&gt;"",学校マスタ!$O43&lt;O$3+7,学校マスタ!$P43&gt;=O$3),"█",IF(AND(学校マスタ!$R43&lt;&gt;"",学校マスタ!$U43&lt;&gt;"",学校マスタ!$R43&lt;O$3+7,学校マスタ!$U43&gt;=O$3),"▒","")))))</f>
        <v/>
      </c>
      <c r="P45" s="26">
        <f>IF(学校マスタ!$A43="","",IF(AND(学校マスタ!$U43&lt;&gt;"",学校マスタ!$U43&gt;=P$3,学校マスタ!$U43&lt;P$3+7),"◎",IF(OR(AND(学校マスタ!$H43&lt;&gt;"",学校マスタ!$H43&gt;=P$3,学校マスタ!$H43&lt;P$3+7),AND(学校マスタ!$J43&lt;&gt;"",学校マスタ!$J43&gt;=P$3,学校マスタ!$J43&lt;P$3+7),AND(学校マスタ!$L43&lt;&gt;"",学校マスタ!$L43&gt;=P$3,学校マスタ!$L43&lt;P$3+7)),"◆",IF(AND(学校マスタ!$O43&lt;&gt;"",学校マスタ!$P43&lt;&gt;"",学校マスタ!$O43&lt;P$3+7,学校マスタ!$P43&gt;=P$3),"█",IF(AND(学校マスタ!$R43&lt;&gt;"",学校マスタ!$U43&lt;&gt;"",学校マスタ!$R43&lt;P$3+7,学校マスタ!$U43&gt;=P$3),"▒","")))))</f>
        <v/>
      </c>
      <c r="Q45" s="26">
        <f>IF(学校マスタ!$A43="","",IF(AND(学校マスタ!$U43&lt;&gt;"",学校マスタ!$U43&gt;=Q$3,学校マスタ!$U43&lt;Q$3+7),"◎",IF(OR(AND(学校マスタ!$H43&lt;&gt;"",学校マスタ!$H43&gt;=Q$3,学校マスタ!$H43&lt;Q$3+7),AND(学校マスタ!$J43&lt;&gt;"",学校マスタ!$J43&gt;=Q$3,学校マスタ!$J43&lt;Q$3+7),AND(学校マスタ!$L43&lt;&gt;"",学校マスタ!$L43&gt;=Q$3,学校マスタ!$L43&lt;Q$3+7)),"◆",IF(AND(学校マスタ!$O43&lt;&gt;"",学校マスタ!$P43&lt;&gt;"",学校マスタ!$O43&lt;Q$3+7,学校マスタ!$P43&gt;=Q$3),"█",IF(AND(学校マスタ!$R43&lt;&gt;"",学校マスタ!$U43&lt;&gt;"",学校マスタ!$R43&lt;Q$3+7,学校マスタ!$U43&gt;=Q$3),"▒","")))))</f>
        <v/>
      </c>
      <c r="R45" s="26">
        <f>IF(学校マスタ!$A43="","",IF(AND(学校マスタ!$U43&lt;&gt;"",学校マスタ!$U43&gt;=R$3,学校マスタ!$U43&lt;R$3+7),"◎",IF(OR(AND(学校マスタ!$H43&lt;&gt;"",学校マスタ!$H43&gt;=R$3,学校マスタ!$H43&lt;R$3+7),AND(学校マスタ!$J43&lt;&gt;"",学校マスタ!$J43&gt;=R$3,学校マスタ!$J43&lt;R$3+7),AND(学校マスタ!$L43&lt;&gt;"",学校マスタ!$L43&gt;=R$3,学校マスタ!$L43&lt;R$3+7)),"◆",IF(AND(学校マスタ!$O43&lt;&gt;"",学校マスタ!$P43&lt;&gt;"",学校マスタ!$O43&lt;R$3+7,学校マスタ!$P43&gt;=R$3),"█",IF(AND(学校マスタ!$R43&lt;&gt;"",学校マスタ!$U43&lt;&gt;"",学校マスタ!$R43&lt;R$3+7,学校マスタ!$U43&gt;=R$3),"▒","")))))</f>
        <v/>
      </c>
      <c r="S45" s="26">
        <f>IF(学校マスタ!$A43="","",IF(AND(学校マスタ!$U43&lt;&gt;"",学校マスタ!$U43&gt;=S$3,学校マスタ!$U43&lt;S$3+7),"◎",IF(OR(AND(学校マスタ!$H43&lt;&gt;"",学校マスタ!$H43&gt;=S$3,学校マスタ!$H43&lt;S$3+7),AND(学校マスタ!$J43&lt;&gt;"",学校マスタ!$J43&gt;=S$3,学校マスタ!$J43&lt;S$3+7),AND(学校マスタ!$L43&lt;&gt;"",学校マスタ!$L43&gt;=S$3,学校マスタ!$L43&lt;S$3+7)),"◆",IF(AND(学校マスタ!$O43&lt;&gt;"",学校マスタ!$P43&lt;&gt;"",学校マスタ!$O43&lt;S$3+7,学校マスタ!$P43&gt;=S$3),"█",IF(AND(学校マスタ!$R43&lt;&gt;"",学校マスタ!$U43&lt;&gt;"",学校マスタ!$R43&lt;S$3+7,学校マスタ!$U43&gt;=S$3),"▒","")))))</f>
        <v/>
      </c>
      <c r="T45" s="26">
        <f>IF(学校マスタ!$A43="","",IF(AND(学校マスタ!$U43&lt;&gt;"",学校マスタ!$U43&gt;=T$3,学校マスタ!$U43&lt;T$3+7),"◎",IF(OR(AND(学校マスタ!$H43&lt;&gt;"",学校マスタ!$H43&gt;=T$3,学校マスタ!$H43&lt;T$3+7),AND(学校マスタ!$J43&lt;&gt;"",学校マスタ!$J43&gt;=T$3,学校マスタ!$J43&lt;T$3+7),AND(学校マスタ!$L43&lt;&gt;"",学校マスタ!$L43&gt;=T$3,学校マスタ!$L43&lt;T$3+7)),"◆",IF(AND(学校マスタ!$O43&lt;&gt;"",学校マスタ!$P43&lt;&gt;"",学校マスタ!$O43&lt;T$3+7,学校マスタ!$P43&gt;=T$3),"█",IF(AND(学校マスタ!$R43&lt;&gt;"",学校マスタ!$U43&lt;&gt;"",学校マスタ!$R43&lt;T$3+7,学校マスタ!$U43&gt;=T$3),"▒","")))))</f>
        <v/>
      </c>
      <c r="U45" s="26">
        <f>IF(学校マスタ!$A43="","",IF(AND(学校マスタ!$U43&lt;&gt;"",学校マスタ!$U43&gt;=U$3,学校マスタ!$U43&lt;U$3+7),"◎",IF(OR(AND(学校マスタ!$H43&lt;&gt;"",学校マスタ!$H43&gt;=U$3,学校マスタ!$H43&lt;U$3+7),AND(学校マスタ!$J43&lt;&gt;"",学校マスタ!$J43&gt;=U$3,学校マスタ!$J43&lt;U$3+7),AND(学校マスタ!$L43&lt;&gt;"",学校マスタ!$L43&gt;=U$3,学校マスタ!$L43&lt;U$3+7)),"◆",IF(AND(学校マスタ!$O43&lt;&gt;"",学校マスタ!$P43&lt;&gt;"",学校マスタ!$O43&lt;U$3+7,学校マスタ!$P43&gt;=U$3),"█",IF(AND(学校マスタ!$R43&lt;&gt;"",学校マスタ!$U43&lt;&gt;"",学校マスタ!$R43&lt;U$3+7,学校マスタ!$U43&gt;=U$3),"▒","")))))</f>
        <v/>
      </c>
      <c r="V45" s="26">
        <f>IF(学校マスタ!$A43="","",IF(AND(学校マスタ!$U43&lt;&gt;"",学校マスタ!$U43&gt;=V$3,学校マスタ!$U43&lt;V$3+7),"◎",IF(OR(AND(学校マスタ!$H43&lt;&gt;"",学校マスタ!$H43&gt;=V$3,学校マスタ!$H43&lt;V$3+7),AND(学校マスタ!$J43&lt;&gt;"",学校マスタ!$J43&gt;=V$3,学校マスタ!$J43&lt;V$3+7),AND(学校マスタ!$L43&lt;&gt;"",学校マスタ!$L43&gt;=V$3,学校マスタ!$L43&lt;V$3+7)),"◆",IF(AND(学校マスタ!$O43&lt;&gt;"",学校マスタ!$P43&lt;&gt;"",学校マスタ!$O43&lt;V$3+7,学校マスタ!$P43&gt;=V$3),"█",IF(AND(学校マスタ!$R43&lt;&gt;"",学校マスタ!$U43&lt;&gt;"",学校マスタ!$R43&lt;V$3+7,学校マスタ!$U43&gt;=V$3),"▒","")))))</f>
        <v/>
      </c>
      <c r="W45" s="26">
        <f>IF(学校マスタ!$A43="","",IF(AND(学校マスタ!$U43&lt;&gt;"",学校マスタ!$U43&gt;=W$3,学校マスタ!$U43&lt;W$3+7),"◎",IF(OR(AND(学校マスタ!$H43&lt;&gt;"",学校マスタ!$H43&gt;=W$3,学校マスタ!$H43&lt;W$3+7),AND(学校マスタ!$J43&lt;&gt;"",学校マスタ!$J43&gt;=W$3,学校マスタ!$J43&lt;W$3+7),AND(学校マスタ!$L43&lt;&gt;"",学校マスタ!$L43&gt;=W$3,学校マスタ!$L43&lt;W$3+7)),"◆",IF(AND(学校マスタ!$O43&lt;&gt;"",学校マスタ!$P43&lt;&gt;"",学校マスタ!$O43&lt;W$3+7,学校マスタ!$P43&gt;=W$3),"█",IF(AND(学校マスタ!$R43&lt;&gt;"",学校マスタ!$U43&lt;&gt;"",学校マスタ!$R43&lt;W$3+7,学校マスタ!$U43&gt;=W$3),"▒","")))))</f>
        <v/>
      </c>
      <c r="X45" s="26">
        <f>IF(学校マスタ!$A43="","",IF(AND(学校マスタ!$U43&lt;&gt;"",学校マスタ!$U43&gt;=X$3,学校マスタ!$U43&lt;X$3+7),"◎",IF(OR(AND(学校マスタ!$H43&lt;&gt;"",学校マスタ!$H43&gt;=X$3,学校マスタ!$H43&lt;X$3+7),AND(学校マスタ!$J43&lt;&gt;"",学校マスタ!$J43&gt;=X$3,学校マスタ!$J43&lt;X$3+7),AND(学校マスタ!$L43&lt;&gt;"",学校マスタ!$L43&gt;=X$3,学校マスタ!$L43&lt;X$3+7)),"◆",IF(AND(学校マスタ!$O43&lt;&gt;"",学校マスタ!$P43&lt;&gt;"",学校マスタ!$O43&lt;X$3+7,学校マスタ!$P43&gt;=X$3),"█",IF(AND(学校マスタ!$R43&lt;&gt;"",学校マスタ!$U43&lt;&gt;"",学校マスタ!$R43&lt;X$3+7,学校マスタ!$U43&gt;=X$3),"▒","")))))</f>
        <v/>
      </c>
      <c r="Y45" s="26">
        <f>IF(学校マスタ!$A43="","",IF(AND(学校マスタ!$U43&lt;&gt;"",学校マスタ!$U43&gt;=Y$3,学校マスタ!$U43&lt;Y$3+7),"◎",IF(OR(AND(学校マスタ!$H43&lt;&gt;"",学校マスタ!$H43&gt;=Y$3,学校マスタ!$H43&lt;Y$3+7),AND(学校マスタ!$J43&lt;&gt;"",学校マスタ!$J43&gt;=Y$3,学校マスタ!$J43&lt;Y$3+7),AND(学校マスタ!$L43&lt;&gt;"",学校マスタ!$L43&gt;=Y$3,学校マスタ!$L43&lt;Y$3+7)),"◆",IF(AND(学校マスタ!$O43&lt;&gt;"",学校マスタ!$P43&lt;&gt;"",学校マスタ!$O43&lt;Y$3+7,学校マスタ!$P43&gt;=Y$3),"█",IF(AND(学校マスタ!$R43&lt;&gt;"",学校マスタ!$U43&lt;&gt;"",学校マスタ!$R43&lt;Y$3+7,学校マスタ!$U43&gt;=Y$3),"▒","")))))</f>
        <v/>
      </c>
      <c r="Z45" s="26">
        <f>IF(学校マスタ!$A43="","",IF(AND(学校マスタ!$U43&lt;&gt;"",学校マスタ!$U43&gt;=Z$3,学校マスタ!$U43&lt;Z$3+7),"◎",IF(OR(AND(学校マスタ!$H43&lt;&gt;"",学校マスタ!$H43&gt;=Z$3,学校マスタ!$H43&lt;Z$3+7),AND(学校マスタ!$J43&lt;&gt;"",学校マスタ!$J43&gt;=Z$3,学校マスタ!$J43&lt;Z$3+7),AND(学校マスタ!$L43&lt;&gt;"",学校マスタ!$L43&gt;=Z$3,学校マスタ!$L43&lt;Z$3+7)),"◆",IF(AND(学校マスタ!$O43&lt;&gt;"",学校マスタ!$P43&lt;&gt;"",学校マスタ!$O43&lt;Z$3+7,学校マスタ!$P43&gt;=Z$3),"█",IF(AND(学校マスタ!$R43&lt;&gt;"",学校マスタ!$U43&lt;&gt;"",学校マスタ!$R43&lt;Z$3+7,学校マスタ!$U43&gt;=Z$3),"▒","")))))</f>
        <v/>
      </c>
      <c r="AA45" s="26">
        <f>IF(学校マスタ!$A43="","",IF(AND(学校マスタ!$U43&lt;&gt;"",学校マスタ!$U43&gt;=AA$3,学校マスタ!$U43&lt;AA$3+7),"◎",IF(OR(AND(学校マスタ!$H43&lt;&gt;"",学校マスタ!$H43&gt;=AA$3,学校マスタ!$H43&lt;AA$3+7),AND(学校マスタ!$J43&lt;&gt;"",学校マスタ!$J43&gt;=AA$3,学校マスタ!$J43&lt;AA$3+7),AND(学校マスタ!$L43&lt;&gt;"",学校マスタ!$L43&gt;=AA$3,学校マスタ!$L43&lt;AA$3+7)),"◆",IF(AND(学校マスタ!$O43&lt;&gt;"",学校マスタ!$P43&lt;&gt;"",学校マスタ!$O43&lt;AA$3+7,学校マスタ!$P43&gt;=AA$3),"█",IF(AND(学校マスタ!$R43&lt;&gt;"",学校マスタ!$U43&lt;&gt;"",学校マスタ!$R43&lt;AA$3+7,学校マスタ!$U43&gt;=AA$3),"▒","")))))</f>
        <v/>
      </c>
      <c r="AB45" s="26">
        <f>IF(学校マスタ!$A43="","",IF(AND(学校マスタ!$U43&lt;&gt;"",学校マスタ!$U43&gt;=AB$3,学校マスタ!$U43&lt;AB$3+7),"◎",IF(OR(AND(学校マスタ!$H43&lt;&gt;"",学校マスタ!$H43&gt;=AB$3,学校マスタ!$H43&lt;AB$3+7),AND(学校マスタ!$J43&lt;&gt;"",学校マスタ!$J43&gt;=AB$3,学校マスタ!$J43&lt;AB$3+7),AND(学校マスタ!$L43&lt;&gt;"",学校マスタ!$L43&gt;=AB$3,学校マスタ!$L43&lt;AB$3+7)),"◆",IF(AND(学校マスタ!$O43&lt;&gt;"",学校マスタ!$P43&lt;&gt;"",学校マスタ!$O43&lt;AB$3+7,学校マスタ!$P43&gt;=AB$3),"█",IF(AND(学校マスタ!$R43&lt;&gt;"",学校マスタ!$U43&lt;&gt;"",学校マスタ!$R43&lt;AB$3+7,学校マスタ!$U43&gt;=AB$3),"▒","")))))</f>
        <v/>
      </c>
    </row>
    <row r="46">
      <c r="A46" s="19">
        <f>IF(学校マスタ!$A44="","",学校マスタ!$A44)</f>
        <v/>
      </c>
      <c r="B46" s="19">
        <f>IF(学校マスタ!$A44="","",学校マスタ!$C44)</f>
        <v/>
      </c>
      <c r="C46" s="19">
        <f>IF(学校マスタ!$A44="","",学校マスタ!$X44)</f>
        <v/>
      </c>
      <c r="D46" s="25">
        <f>IF(学校マスタ!$A44="","",学校マスタ!$R44)</f>
        <v/>
      </c>
      <c r="E46" s="26">
        <f>IF(学校マスタ!$A44="","",IF(AND(学校マスタ!$U44&lt;&gt;"",学校マスタ!$U44&gt;=E$3,学校マスタ!$U44&lt;E$3+7),"◎",IF(OR(AND(学校マスタ!$H44&lt;&gt;"",学校マスタ!$H44&gt;=E$3,学校マスタ!$H44&lt;E$3+7),AND(学校マスタ!$J44&lt;&gt;"",学校マスタ!$J44&gt;=E$3,学校マスタ!$J44&lt;E$3+7),AND(学校マスタ!$L44&lt;&gt;"",学校マスタ!$L44&gt;=E$3,学校マスタ!$L44&lt;E$3+7)),"◆",IF(AND(学校マスタ!$O44&lt;&gt;"",学校マスタ!$P44&lt;&gt;"",学校マスタ!$O44&lt;E$3+7,学校マスタ!$P44&gt;=E$3),"█",IF(AND(学校マスタ!$R44&lt;&gt;"",学校マスタ!$U44&lt;&gt;"",学校マスタ!$R44&lt;E$3+7,学校マスタ!$U44&gt;=E$3),"▒","")))))</f>
        <v/>
      </c>
      <c r="F46" s="26">
        <f>IF(学校マスタ!$A44="","",IF(AND(学校マスタ!$U44&lt;&gt;"",学校マスタ!$U44&gt;=F$3,学校マスタ!$U44&lt;F$3+7),"◎",IF(OR(AND(学校マスタ!$H44&lt;&gt;"",学校マスタ!$H44&gt;=F$3,学校マスタ!$H44&lt;F$3+7),AND(学校マスタ!$J44&lt;&gt;"",学校マスタ!$J44&gt;=F$3,学校マスタ!$J44&lt;F$3+7),AND(学校マスタ!$L44&lt;&gt;"",学校マスタ!$L44&gt;=F$3,学校マスタ!$L44&lt;F$3+7)),"◆",IF(AND(学校マスタ!$O44&lt;&gt;"",学校マスタ!$P44&lt;&gt;"",学校マスタ!$O44&lt;F$3+7,学校マスタ!$P44&gt;=F$3),"█",IF(AND(学校マスタ!$R44&lt;&gt;"",学校マスタ!$U44&lt;&gt;"",学校マスタ!$R44&lt;F$3+7,学校マスタ!$U44&gt;=F$3),"▒","")))))</f>
        <v/>
      </c>
      <c r="G46" s="26">
        <f>IF(学校マスタ!$A44="","",IF(AND(学校マスタ!$U44&lt;&gt;"",学校マスタ!$U44&gt;=G$3,学校マスタ!$U44&lt;G$3+7),"◎",IF(OR(AND(学校マスタ!$H44&lt;&gt;"",学校マスタ!$H44&gt;=G$3,学校マスタ!$H44&lt;G$3+7),AND(学校マスタ!$J44&lt;&gt;"",学校マスタ!$J44&gt;=G$3,学校マスタ!$J44&lt;G$3+7),AND(学校マスタ!$L44&lt;&gt;"",学校マスタ!$L44&gt;=G$3,学校マスタ!$L44&lt;G$3+7)),"◆",IF(AND(学校マスタ!$O44&lt;&gt;"",学校マスタ!$P44&lt;&gt;"",学校マスタ!$O44&lt;G$3+7,学校マスタ!$P44&gt;=G$3),"█",IF(AND(学校マスタ!$R44&lt;&gt;"",学校マスタ!$U44&lt;&gt;"",学校マスタ!$R44&lt;G$3+7,学校マスタ!$U44&gt;=G$3),"▒","")))))</f>
        <v/>
      </c>
      <c r="H46" s="26">
        <f>IF(学校マスタ!$A44="","",IF(AND(学校マスタ!$U44&lt;&gt;"",学校マスタ!$U44&gt;=H$3,学校マスタ!$U44&lt;H$3+7),"◎",IF(OR(AND(学校マスタ!$H44&lt;&gt;"",学校マスタ!$H44&gt;=H$3,学校マスタ!$H44&lt;H$3+7),AND(学校マスタ!$J44&lt;&gt;"",学校マスタ!$J44&gt;=H$3,学校マスタ!$J44&lt;H$3+7),AND(学校マスタ!$L44&lt;&gt;"",学校マスタ!$L44&gt;=H$3,学校マスタ!$L44&lt;H$3+7)),"◆",IF(AND(学校マスタ!$O44&lt;&gt;"",学校マスタ!$P44&lt;&gt;"",学校マスタ!$O44&lt;H$3+7,学校マスタ!$P44&gt;=H$3),"█",IF(AND(学校マスタ!$R44&lt;&gt;"",学校マスタ!$U44&lt;&gt;"",学校マスタ!$R44&lt;H$3+7,学校マスタ!$U44&gt;=H$3),"▒","")))))</f>
        <v/>
      </c>
      <c r="I46" s="26">
        <f>IF(学校マスタ!$A44="","",IF(AND(学校マスタ!$U44&lt;&gt;"",学校マスタ!$U44&gt;=I$3,学校マスタ!$U44&lt;I$3+7),"◎",IF(OR(AND(学校マスタ!$H44&lt;&gt;"",学校マスタ!$H44&gt;=I$3,学校マスタ!$H44&lt;I$3+7),AND(学校マスタ!$J44&lt;&gt;"",学校マスタ!$J44&gt;=I$3,学校マスタ!$J44&lt;I$3+7),AND(学校マスタ!$L44&lt;&gt;"",学校マスタ!$L44&gt;=I$3,学校マスタ!$L44&lt;I$3+7)),"◆",IF(AND(学校マスタ!$O44&lt;&gt;"",学校マスタ!$P44&lt;&gt;"",学校マスタ!$O44&lt;I$3+7,学校マスタ!$P44&gt;=I$3),"█",IF(AND(学校マスタ!$R44&lt;&gt;"",学校マスタ!$U44&lt;&gt;"",学校マスタ!$R44&lt;I$3+7,学校マスタ!$U44&gt;=I$3),"▒","")))))</f>
        <v/>
      </c>
      <c r="J46" s="26">
        <f>IF(学校マスタ!$A44="","",IF(AND(学校マスタ!$U44&lt;&gt;"",学校マスタ!$U44&gt;=J$3,学校マスタ!$U44&lt;J$3+7),"◎",IF(OR(AND(学校マスタ!$H44&lt;&gt;"",学校マスタ!$H44&gt;=J$3,学校マスタ!$H44&lt;J$3+7),AND(学校マスタ!$J44&lt;&gt;"",学校マスタ!$J44&gt;=J$3,学校マスタ!$J44&lt;J$3+7),AND(学校マスタ!$L44&lt;&gt;"",学校マスタ!$L44&gt;=J$3,学校マスタ!$L44&lt;J$3+7)),"◆",IF(AND(学校マスタ!$O44&lt;&gt;"",学校マスタ!$P44&lt;&gt;"",学校マスタ!$O44&lt;J$3+7,学校マスタ!$P44&gt;=J$3),"█",IF(AND(学校マスタ!$R44&lt;&gt;"",学校マスタ!$U44&lt;&gt;"",学校マスタ!$R44&lt;J$3+7,学校マスタ!$U44&gt;=J$3),"▒","")))))</f>
        <v/>
      </c>
      <c r="K46" s="26">
        <f>IF(学校マスタ!$A44="","",IF(AND(学校マスタ!$U44&lt;&gt;"",学校マスタ!$U44&gt;=K$3,学校マスタ!$U44&lt;K$3+7),"◎",IF(OR(AND(学校マスタ!$H44&lt;&gt;"",学校マスタ!$H44&gt;=K$3,学校マスタ!$H44&lt;K$3+7),AND(学校マスタ!$J44&lt;&gt;"",学校マスタ!$J44&gt;=K$3,学校マスタ!$J44&lt;K$3+7),AND(学校マスタ!$L44&lt;&gt;"",学校マスタ!$L44&gt;=K$3,学校マスタ!$L44&lt;K$3+7)),"◆",IF(AND(学校マスタ!$O44&lt;&gt;"",学校マスタ!$P44&lt;&gt;"",学校マスタ!$O44&lt;K$3+7,学校マスタ!$P44&gt;=K$3),"█",IF(AND(学校マスタ!$R44&lt;&gt;"",学校マスタ!$U44&lt;&gt;"",学校マスタ!$R44&lt;K$3+7,学校マスタ!$U44&gt;=K$3),"▒","")))))</f>
        <v/>
      </c>
      <c r="L46" s="26">
        <f>IF(学校マスタ!$A44="","",IF(AND(学校マスタ!$U44&lt;&gt;"",学校マスタ!$U44&gt;=L$3,学校マスタ!$U44&lt;L$3+7),"◎",IF(OR(AND(学校マスタ!$H44&lt;&gt;"",学校マスタ!$H44&gt;=L$3,学校マスタ!$H44&lt;L$3+7),AND(学校マスタ!$J44&lt;&gt;"",学校マスタ!$J44&gt;=L$3,学校マスタ!$J44&lt;L$3+7),AND(学校マスタ!$L44&lt;&gt;"",学校マスタ!$L44&gt;=L$3,学校マスタ!$L44&lt;L$3+7)),"◆",IF(AND(学校マスタ!$O44&lt;&gt;"",学校マスタ!$P44&lt;&gt;"",学校マスタ!$O44&lt;L$3+7,学校マスタ!$P44&gt;=L$3),"█",IF(AND(学校マスタ!$R44&lt;&gt;"",学校マスタ!$U44&lt;&gt;"",学校マスタ!$R44&lt;L$3+7,学校マスタ!$U44&gt;=L$3),"▒","")))))</f>
        <v/>
      </c>
      <c r="M46" s="26">
        <f>IF(学校マスタ!$A44="","",IF(AND(学校マスタ!$U44&lt;&gt;"",学校マスタ!$U44&gt;=M$3,学校マスタ!$U44&lt;M$3+7),"◎",IF(OR(AND(学校マスタ!$H44&lt;&gt;"",学校マスタ!$H44&gt;=M$3,学校マスタ!$H44&lt;M$3+7),AND(学校マスタ!$J44&lt;&gt;"",学校マスタ!$J44&gt;=M$3,学校マスタ!$J44&lt;M$3+7),AND(学校マスタ!$L44&lt;&gt;"",学校マスタ!$L44&gt;=M$3,学校マスタ!$L44&lt;M$3+7)),"◆",IF(AND(学校マスタ!$O44&lt;&gt;"",学校マスタ!$P44&lt;&gt;"",学校マスタ!$O44&lt;M$3+7,学校マスタ!$P44&gt;=M$3),"█",IF(AND(学校マスタ!$R44&lt;&gt;"",学校マスタ!$U44&lt;&gt;"",学校マスタ!$R44&lt;M$3+7,学校マスタ!$U44&gt;=M$3),"▒","")))))</f>
        <v/>
      </c>
      <c r="N46" s="26">
        <f>IF(学校マスタ!$A44="","",IF(AND(学校マスタ!$U44&lt;&gt;"",学校マスタ!$U44&gt;=N$3,学校マスタ!$U44&lt;N$3+7),"◎",IF(OR(AND(学校マスタ!$H44&lt;&gt;"",学校マスタ!$H44&gt;=N$3,学校マスタ!$H44&lt;N$3+7),AND(学校マスタ!$J44&lt;&gt;"",学校マスタ!$J44&gt;=N$3,学校マスタ!$J44&lt;N$3+7),AND(学校マスタ!$L44&lt;&gt;"",学校マスタ!$L44&gt;=N$3,学校マスタ!$L44&lt;N$3+7)),"◆",IF(AND(学校マスタ!$O44&lt;&gt;"",学校マスタ!$P44&lt;&gt;"",学校マスタ!$O44&lt;N$3+7,学校マスタ!$P44&gt;=N$3),"█",IF(AND(学校マスタ!$R44&lt;&gt;"",学校マスタ!$U44&lt;&gt;"",学校マスタ!$R44&lt;N$3+7,学校マスタ!$U44&gt;=N$3),"▒","")))))</f>
        <v/>
      </c>
      <c r="O46" s="26">
        <f>IF(学校マスタ!$A44="","",IF(AND(学校マスタ!$U44&lt;&gt;"",学校マスタ!$U44&gt;=O$3,学校マスタ!$U44&lt;O$3+7),"◎",IF(OR(AND(学校マスタ!$H44&lt;&gt;"",学校マスタ!$H44&gt;=O$3,学校マスタ!$H44&lt;O$3+7),AND(学校マスタ!$J44&lt;&gt;"",学校マスタ!$J44&gt;=O$3,学校マスタ!$J44&lt;O$3+7),AND(学校マスタ!$L44&lt;&gt;"",学校マスタ!$L44&gt;=O$3,学校マスタ!$L44&lt;O$3+7)),"◆",IF(AND(学校マスタ!$O44&lt;&gt;"",学校マスタ!$P44&lt;&gt;"",学校マスタ!$O44&lt;O$3+7,学校マスタ!$P44&gt;=O$3),"█",IF(AND(学校マスタ!$R44&lt;&gt;"",学校マスタ!$U44&lt;&gt;"",学校マスタ!$R44&lt;O$3+7,学校マスタ!$U44&gt;=O$3),"▒","")))))</f>
        <v/>
      </c>
      <c r="P46" s="26">
        <f>IF(学校マスタ!$A44="","",IF(AND(学校マスタ!$U44&lt;&gt;"",学校マスタ!$U44&gt;=P$3,学校マスタ!$U44&lt;P$3+7),"◎",IF(OR(AND(学校マスタ!$H44&lt;&gt;"",学校マスタ!$H44&gt;=P$3,学校マスタ!$H44&lt;P$3+7),AND(学校マスタ!$J44&lt;&gt;"",学校マスタ!$J44&gt;=P$3,学校マスタ!$J44&lt;P$3+7),AND(学校マスタ!$L44&lt;&gt;"",学校マスタ!$L44&gt;=P$3,学校マスタ!$L44&lt;P$3+7)),"◆",IF(AND(学校マスタ!$O44&lt;&gt;"",学校マスタ!$P44&lt;&gt;"",学校マスタ!$O44&lt;P$3+7,学校マスタ!$P44&gt;=P$3),"█",IF(AND(学校マスタ!$R44&lt;&gt;"",学校マスタ!$U44&lt;&gt;"",学校マスタ!$R44&lt;P$3+7,学校マスタ!$U44&gt;=P$3),"▒","")))))</f>
        <v/>
      </c>
      <c r="Q46" s="26">
        <f>IF(学校マスタ!$A44="","",IF(AND(学校マスタ!$U44&lt;&gt;"",学校マスタ!$U44&gt;=Q$3,学校マスタ!$U44&lt;Q$3+7),"◎",IF(OR(AND(学校マスタ!$H44&lt;&gt;"",学校マスタ!$H44&gt;=Q$3,学校マスタ!$H44&lt;Q$3+7),AND(学校マスタ!$J44&lt;&gt;"",学校マスタ!$J44&gt;=Q$3,学校マスタ!$J44&lt;Q$3+7),AND(学校マスタ!$L44&lt;&gt;"",学校マスタ!$L44&gt;=Q$3,学校マスタ!$L44&lt;Q$3+7)),"◆",IF(AND(学校マスタ!$O44&lt;&gt;"",学校マスタ!$P44&lt;&gt;"",学校マスタ!$O44&lt;Q$3+7,学校マスタ!$P44&gt;=Q$3),"█",IF(AND(学校マスタ!$R44&lt;&gt;"",学校マスタ!$U44&lt;&gt;"",学校マスタ!$R44&lt;Q$3+7,学校マスタ!$U44&gt;=Q$3),"▒","")))))</f>
        <v/>
      </c>
      <c r="R46" s="26">
        <f>IF(学校マスタ!$A44="","",IF(AND(学校マスタ!$U44&lt;&gt;"",学校マスタ!$U44&gt;=R$3,学校マスタ!$U44&lt;R$3+7),"◎",IF(OR(AND(学校マスタ!$H44&lt;&gt;"",学校マスタ!$H44&gt;=R$3,学校マスタ!$H44&lt;R$3+7),AND(学校マスタ!$J44&lt;&gt;"",学校マスタ!$J44&gt;=R$3,学校マスタ!$J44&lt;R$3+7),AND(学校マスタ!$L44&lt;&gt;"",学校マスタ!$L44&gt;=R$3,学校マスタ!$L44&lt;R$3+7)),"◆",IF(AND(学校マスタ!$O44&lt;&gt;"",学校マスタ!$P44&lt;&gt;"",学校マスタ!$O44&lt;R$3+7,学校マスタ!$P44&gt;=R$3),"█",IF(AND(学校マスタ!$R44&lt;&gt;"",学校マスタ!$U44&lt;&gt;"",学校マスタ!$R44&lt;R$3+7,学校マスタ!$U44&gt;=R$3),"▒","")))))</f>
        <v/>
      </c>
      <c r="S46" s="26">
        <f>IF(学校マスタ!$A44="","",IF(AND(学校マスタ!$U44&lt;&gt;"",学校マスタ!$U44&gt;=S$3,学校マスタ!$U44&lt;S$3+7),"◎",IF(OR(AND(学校マスタ!$H44&lt;&gt;"",学校マスタ!$H44&gt;=S$3,学校マスタ!$H44&lt;S$3+7),AND(学校マスタ!$J44&lt;&gt;"",学校マスタ!$J44&gt;=S$3,学校マスタ!$J44&lt;S$3+7),AND(学校マスタ!$L44&lt;&gt;"",学校マスタ!$L44&gt;=S$3,学校マスタ!$L44&lt;S$3+7)),"◆",IF(AND(学校マスタ!$O44&lt;&gt;"",学校マスタ!$P44&lt;&gt;"",学校マスタ!$O44&lt;S$3+7,学校マスタ!$P44&gt;=S$3),"█",IF(AND(学校マスタ!$R44&lt;&gt;"",学校マスタ!$U44&lt;&gt;"",学校マスタ!$R44&lt;S$3+7,学校マスタ!$U44&gt;=S$3),"▒","")))))</f>
        <v/>
      </c>
      <c r="T46" s="26">
        <f>IF(学校マスタ!$A44="","",IF(AND(学校マスタ!$U44&lt;&gt;"",学校マスタ!$U44&gt;=T$3,学校マスタ!$U44&lt;T$3+7),"◎",IF(OR(AND(学校マスタ!$H44&lt;&gt;"",学校マスタ!$H44&gt;=T$3,学校マスタ!$H44&lt;T$3+7),AND(学校マスタ!$J44&lt;&gt;"",学校マスタ!$J44&gt;=T$3,学校マスタ!$J44&lt;T$3+7),AND(学校マスタ!$L44&lt;&gt;"",学校マスタ!$L44&gt;=T$3,学校マスタ!$L44&lt;T$3+7)),"◆",IF(AND(学校マスタ!$O44&lt;&gt;"",学校マスタ!$P44&lt;&gt;"",学校マスタ!$O44&lt;T$3+7,学校マスタ!$P44&gt;=T$3),"█",IF(AND(学校マスタ!$R44&lt;&gt;"",学校マスタ!$U44&lt;&gt;"",学校マスタ!$R44&lt;T$3+7,学校マスタ!$U44&gt;=T$3),"▒","")))))</f>
        <v/>
      </c>
      <c r="U46" s="26">
        <f>IF(学校マスタ!$A44="","",IF(AND(学校マスタ!$U44&lt;&gt;"",学校マスタ!$U44&gt;=U$3,学校マスタ!$U44&lt;U$3+7),"◎",IF(OR(AND(学校マスタ!$H44&lt;&gt;"",学校マスタ!$H44&gt;=U$3,学校マスタ!$H44&lt;U$3+7),AND(学校マスタ!$J44&lt;&gt;"",学校マスタ!$J44&gt;=U$3,学校マスタ!$J44&lt;U$3+7),AND(学校マスタ!$L44&lt;&gt;"",学校マスタ!$L44&gt;=U$3,学校マスタ!$L44&lt;U$3+7)),"◆",IF(AND(学校マスタ!$O44&lt;&gt;"",学校マスタ!$P44&lt;&gt;"",学校マスタ!$O44&lt;U$3+7,学校マスタ!$P44&gt;=U$3),"█",IF(AND(学校マスタ!$R44&lt;&gt;"",学校マスタ!$U44&lt;&gt;"",学校マスタ!$R44&lt;U$3+7,学校マスタ!$U44&gt;=U$3),"▒","")))))</f>
        <v/>
      </c>
      <c r="V46" s="26">
        <f>IF(学校マスタ!$A44="","",IF(AND(学校マスタ!$U44&lt;&gt;"",学校マスタ!$U44&gt;=V$3,学校マスタ!$U44&lt;V$3+7),"◎",IF(OR(AND(学校マスタ!$H44&lt;&gt;"",学校マスタ!$H44&gt;=V$3,学校マスタ!$H44&lt;V$3+7),AND(学校マスタ!$J44&lt;&gt;"",学校マスタ!$J44&gt;=V$3,学校マスタ!$J44&lt;V$3+7),AND(学校マスタ!$L44&lt;&gt;"",学校マスタ!$L44&gt;=V$3,学校マスタ!$L44&lt;V$3+7)),"◆",IF(AND(学校マスタ!$O44&lt;&gt;"",学校マスタ!$P44&lt;&gt;"",学校マスタ!$O44&lt;V$3+7,学校マスタ!$P44&gt;=V$3),"█",IF(AND(学校マスタ!$R44&lt;&gt;"",学校マスタ!$U44&lt;&gt;"",学校マスタ!$R44&lt;V$3+7,学校マスタ!$U44&gt;=V$3),"▒","")))))</f>
        <v/>
      </c>
      <c r="W46" s="26">
        <f>IF(学校マスタ!$A44="","",IF(AND(学校マスタ!$U44&lt;&gt;"",学校マスタ!$U44&gt;=W$3,学校マスタ!$U44&lt;W$3+7),"◎",IF(OR(AND(学校マスタ!$H44&lt;&gt;"",学校マスタ!$H44&gt;=W$3,学校マスタ!$H44&lt;W$3+7),AND(学校マスタ!$J44&lt;&gt;"",学校マスタ!$J44&gt;=W$3,学校マスタ!$J44&lt;W$3+7),AND(学校マスタ!$L44&lt;&gt;"",学校マスタ!$L44&gt;=W$3,学校マスタ!$L44&lt;W$3+7)),"◆",IF(AND(学校マスタ!$O44&lt;&gt;"",学校マスタ!$P44&lt;&gt;"",学校マスタ!$O44&lt;W$3+7,学校マスタ!$P44&gt;=W$3),"█",IF(AND(学校マスタ!$R44&lt;&gt;"",学校マスタ!$U44&lt;&gt;"",学校マスタ!$R44&lt;W$3+7,学校マスタ!$U44&gt;=W$3),"▒","")))))</f>
        <v/>
      </c>
      <c r="X46" s="26">
        <f>IF(学校マスタ!$A44="","",IF(AND(学校マスタ!$U44&lt;&gt;"",学校マスタ!$U44&gt;=X$3,学校マスタ!$U44&lt;X$3+7),"◎",IF(OR(AND(学校マスタ!$H44&lt;&gt;"",学校マスタ!$H44&gt;=X$3,学校マスタ!$H44&lt;X$3+7),AND(学校マスタ!$J44&lt;&gt;"",学校マスタ!$J44&gt;=X$3,学校マスタ!$J44&lt;X$3+7),AND(学校マスタ!$L44&lt;&gt;"",学校マスタ!$L44&gt;=X$3,学校マスタ!$L44&lt;X$3+7)),"◆",IF(AND(学校マスタ!$O44&lt;&gt;"",学校マスタ!$P44&lt;&gt;"",学校マスタ!$O44&lt;X$3+7,学校マスタ!$P44&gt;=X$3),"█",IF(AND(学校マスタ!$R44&lt;&gt;"",学校マスタ!$U44&lt;&gt;"",学校マスタ!$R44&lt;X$3+7,学校マスタ!$U44&gt;=X$3),"▒","")))))</f>
        <v/>
      </c>
      <c r="Y46" s="26">
        <f>IF(学校マスタ!$A44="","",IF(AND(学校マスタ!$U44&lt;&gt;"",学校マスタ!$U44&gt;=Y$3,学校マスタ!$U44&lt;Y$3+7),"◎",IF(OR(AND(学校マスタ!$H44&lt;&gt;"",学校マスタ!$H44&gt;=Y$3,学校マスタ!$H44&lt;Y$3+7),AND(学校マスタ!$J44&lt;&gt;"",学校マスタ!$J44&gt;=Y$3,学校マスタ!$J44&lt;Y$3+7),AND(学校マスタ!$L44&lt;&gt;"",学校マスタ!$L44&gt;=Y$3,学校マスタ!$L44&lt;Y$3+7)),"◆",IF(AND(学校マスタ!$O44&lt;&gt;"",学校マスタ!$P44&lt;&gt;"",学校マスタ!$O44&lt;Y$3+7,学校マスタ!$P44&gt;=Y$3),"█",IF(AND(学校マスタ!$R44&lt;&gt;"",学校マスタ!$U44&lt;&gt;"",学校マスタ!$R44&lt;Y$3+7,学校マスタ!$U44&gt;=Y$3),"▒","")))))</f>
        <v/>
      </c>
      <c r="Z46" s="26">
        <f>IF(学校マスタ!$A44="","",IF(AND(学校マスタ!$U44&lt;&gt;"",学校マスタ!$U44&gt;=Z$3,学校マスタ!$U44&lt;Z$3+7),"◎",IF(OR(AND(学校マスタ!$H44&lt;&gt;"",学校マスタ!$H44&gt;=Z$3,学校マスタ!$H44&lt;Z$3+7),AND(学校マスタ!$J44&lt;&gt;"",学校マスタ!$J44&gt;=Z$3,学校マスタ!$J44&lt;Z$3+7),AND(学校マスタ!$L44&lt;&gt;"",学校マスタ!$L44&gt;=Z$3,学校マスタ!$L44&lt;Z$3+7)),"◆",IF(AND(学校マスタ!$O44&lt;&gt;"",学校マスタ!$P44&lt;&gt;"",学校マスタ!$O44&lt;Z$3+7,学校マスタ!$P44&gt;=Z$3),"█",IF(AND(学校マスタ!$R44&lt;&gt;"",学校マスタ!$U44&lt;&gt;"",学校マスタ!$R44&lt;Z$3+7,学校マスタ!$U44&gt;=Z$3),"▒","")))))</f>
        <v/>
      </c>
      <c r="AA46" s="26">
        <f>IF(学校マスタ!$A44="","",IF(AND(学校マスタ!$U44&lt;&gt;"",学校マスタ!$U44&gt;=AA$3,学校マスタ!$U44&lt;AA$3+7),"◎",IF(OR(AND(学校マスタ!$H44&lt;&gt;"",学校マスタ!$H44&gt;=AA$3,学校マスタ!$H44&lt;AA$3+7),AND(学校マスタ!$J44&lt;&gt;"",学校マスタ!$J44&gt;=AA$3,学校マスタ!$J44&lt;AA$3+7),AND(学校マスタ!$L44&lt;&gt;"",学校マスタ!$L44&gt;=AA$3,学校マスタ!$L44&lt;AA$3+7)),"◆",IF(AND(学校マスタ!$O44&lt;&gt;"",学校マスタ!$P44&lt;&gt;"",学校マスタ!$O44&lt;AA$3+7,学校マスタ!$P44&gt;=AA$3),"█",IF(AND(学校マスタ!$R44&lt;&gt;"",学校マスタ!$U44&lt;&gt;"",学校マスタ!$R44&lt;AA$3+7,学校マスタ!$U44&gt;=AA$3),"▒","")))))</f>
        <v/>
      </c>
      <c r="AB46" s="26">
        <f>IF(学校マスタ!$A44="","",IF(AND(学校マスタ!$U44&lt;&gt;"",学校マスタ!$U44&gt;=AB$3,学校マスタ!$U44&lt;AB$3+7),"◎",IF(OR(AND(学校マスタ!$H44&lt;&gt;"",学校マスタ!$H44&gt;=AB$3,学校マスタ!$H44&lt;AB$3+7),AND(学校マスタ!$J44&lt;&gt;"",学校マスタ!$J44&gt;=AB$3,学校マスタ!$J44&lt;AB$3+7),AND(学校マスタ!$L44&lt;&gt;"",学校マスタ!$L44&gt;=AB$3,学校マスタ!$L44&lt;AB$3+7)),"◆",IF(AND(学校マスタ!$O44&lt;&gt;"",学校マスタ!$P44&lt;&gt;"",学校マスタ!$O44&lt;AB$3+7,学校マスタ!$P44&gt;=AB$3),"█",IF(AND(学校マスタ!$R44&lt;&gt;"",学校マスタ!$U44&lt;&gt;"",学校マスタ!$R44&lt;AB$3+7,学校マスタ!$U44&gt;=AB$3),"▒","")))))</f>
        <v/>
      </c>
    </row>
    <row r="47">
      <c r="A47" s="19">
        <f>IF(学校マスタ!$A45="","",学校マスタ!$A45)</f>
        <v/>
      </c>
      <c r="B47" s="19">
        <f>IF(学校マスタ!$A45="","",学校マスタ!$C45)</f>
        <v/>
      </c>
      <c r="C47" s="19">
        <f>IF(学校マスタ!$A45="","",学校マスタ!$X45)</f>
        <v/>
      </c>
      <c r="D47" s="25">
        <f>IF(学校マスタ!$A45="","",学校マスタ!$R45)</f>
        <v/>
      </c>
      <c r="E47" s="26">
        <f>IF(学校マスタ!$A45="","",IF(AND(学校マスタ!$U45&lt;&gt;"",学校マスタ!$U45&gt;=E$3,学校マスタ!$U45&lt;E$3+7),"◎",IF(OR(AND(学校マスタ!$H45&lt;&gt;"",学校マスタ!$H45&gt;=E$3,学校マスタ!$H45&lt;E$3+7),AND(学校マスタ!$J45&lt;&gt;"",学校マスタ!$J45&gt;=E$3,学校マスタ!$J45&lt;E$3+7),AND(学校マスタ!$L45&lt;&gt;"",学校マスタ!$L45&gt;=E$3,学校マスタ!$L45&lt;E$3+7)),"◆",IF(AND(学校マスタ!$O45&lt;&gt;"",学校マスタ!$P45&lt;&gt;"",学校マスタ!$O45&lt;E$3+7,学校マスタ!$P45&gt;=E$3),"█",IF(AND(学校マスタ!$R45&lt;&gt;"",学校マスタ!$U45&lt;&gt;"",学校マスタ!$R45&lt;E$3+7,学校マスタ!$U45&gt;=E$3),"▒","")))))</f>
        <v/>
      </c>
      <c r="F47" s="26">
        <f>IF(学校マスタ!$A45="","",IF(AND(学校マスタ!$U45&lt;&gt;"",学校マスタ!$U45&gt;=F$3,学校マスタ!$U45&lt;F$3+7),"◎",IF(OR(AND(学校マスタ!$H45&lt;&gt;"",学校マスタ!$H45&gt;=F$3,学校マスタ!$H45&lt;F$3+7),AND(学校マスタ!$J45&lt;&gt;"",学校マスタ!$J45&gt;=F$3,学校マスタ!$J45&lt;F$3+7),AND(学校マスタ!$L45&lt;&gt;"",学校マスタ!$L45&gt;=F$3,学校マスタ!$L45&lt;F$3+7)),"◆",IF(AND(学校マスタ!$O45&lt;&gt;"",学校マスタ!$P45&lt;&gt;"",学校マスタ!$O45&lt;F$3+7,学校マスタ!$P45&gt;=F$3),"█",IF(AND(学校マスタ!$R45&lt;&gt;"",学校マスタ!$U45&lt;&gt;"",学校マスタ!$R45&lt;F$3+7,学校マスタ!$U45&gt;=F$3),"▒","")))))</f>
        <v/>
      </c>
      <c r="G47" s="26">
        <f>IF(学校マスタ!$A45="","",IF(AND(学校マスタ!$U45&lt;&gt;"",学校マスタ!$U45&gt;=G$3,学校マスタ!$U45&lt;G$3+7),"◎",IF(OR(AND(学校マスタ!$H45&lt;&gt;"",学校マスタ!$H45&gt;=G$3,学校マスタ!$H45&lt;G$3+7),AND(学校マスタ!$J45&lt;&gt;"",学校マスタ!$J45&gt;=G$3,学校マスタ!$J45&lt;G$3+7),AND(学校マスタ!$L45&lt;&gt;"",学校マスタ!$L45&gt;=G$3,学校マスタ!$L45&lt;G$3+7)),"◆",IF(AND(学校マスタ!$O45&lt;&gt;"",学校マスタ!$P45&lt;&gt;"",学校マスタ!$O45&lt;G$3+7,学校マスタ!$P45&gt;=G$3),"█",IF(AND(学校マスタ!$R45&lt;&gt;"",学校マスタ!$U45&lt;&gt;"",学校マスタ!$R45&lt;G$3+7,学校マスタ!$U45&gt;=G$3),"▒","")))))</f>
        <v/>
      </c>
      <c r="H47" s="26">
        <f>IF(学校マスタ!$A45="","",IF(AND(学校マスタ!$U45&lt;&gt;"",学校マスタ!$U45&gt;=H$3,学校マスタ!$U45&lt;H$3+7),"◎",IF(OR(AND(学校マスタ!$H45&lt;&gt;"",学校マスタ!$H45&gt;=H$3,学校マスタ!$H45&lt;H$3+7),AND(学校マスタ!$J45&lt;&gt;"",学校マスタ!$J45&gt;=H$3,学校マスタ!$J45&lt;H$3+7),AND(学校マスタ!$L45&lt;&gt;"",学校マスタ!$L45&gt;=H$3,学校マスタ!$L45&lt;H$3+7)),"◆",IF(AND(学校マスタ!$O45&lt;&gt;"",学校マスタ!$P45&lt;&gt;"",学校マスタ!$O45&lt;H$3+7,学校マスタ!$P45&gt;=H$3),"█",IF(AND(学校マスタ!$R45&lt;&gt;"",学校マスタ!$U45&lt;&gt;"",学校マスタ!$R45&lt;H$3+7,学校マスタ!$U45&gt;=H$3),"▒","")))))</f>
        <v/>
      </c>
      <c r="I47" s="26">
        <f>IF(学校マスタ!$A45="","",IF(AND(学校マスタ!$U45&lt;&gt;"",学校マスタ!$U45&gt;=I$3,学校マスタ!$U45&lt;I$3+7),"◎",IF(OR(AND(学校マスタ!$H45&lt;&gt;"",学校マスタ!$H45&gt;=I$3,学校マスタ!$H45&lt;I$3+7),AND(学校マスタ!$J45&lt;&gt;"",学校マスタ!$J45&gt;=I$3,学校マスタ!$J45&lt;I$3+7),AND(学校マスタ!$L45&lt;&gt;"",学校マスタ!$L45&gt;=I$3,学校マスタ!$L45&lt;I$3+7)),"◆",IF(AND(学校マスタ!$O45&lt;&gt;"",学校マスタ!$P45&lt;&gt;"",学校マスタ!$O45&lt;I$3+7,学校マスタ!$P45&gt;=I$3),"█",IF(AND(学校マスタ!$R45&lt;&gt;"",学校マスタ!$U45&lt;&gt;"",学校マスタ!$R45&lt;I$3+7,学校マスタ!$U45&gt;=I$3),"▒","")))))</f>
        <v/>
      </c>
      <c r="J47" s="26">
        <f>IF(学校マスタ!$A45="","",IF(AND(学校マスタ!$U45&lt;&gt;"",学校マスタ!$U45&gt;=J$3,学校マスタ!$U45&lt;J$3+7),"◎",IF(OR(AND(学校マスタ!$H45&lt;&gt;"",学校マスタ!$H45&gt;=J$3,学校マスタ!$H45&lt;J$3+7),AND(学校マスタ!$J45&lt;&gt;"",学校マスタ!$J45&gt;=J$3,学校マスタ!$J45&lt;J$3+7),AND(学校マスタ!$L45&lt;&gt;"",学校マスタ!$L45&gt;=J$3,学校マスタ!$L45&lt;J$3+7)),"◆",IF(AND(学校マスタ!$O45&lt;&gt;"",学校マスタ!$P45&lt;&gt;"",学校マスタ!$O45&lt;J$3+7,学校マスタ!$P45&gt;=J$3),"█",IF(AND(学校マスタ!$R45&lt;&gt;"",学校マスタ!$U45&lt;&gt;"",学校マスタ!$R45&lt;J$3+7,学校マスタ!$U45&gt;=J$3),"▒","")))))</f>
        <v/>
      </c>
      <c r="K47" s="26">
        <f>IF(学校マスタ!$A45="","",IF(AND(学校マスタ!$U45&lt;&gt;"",学校マスタ!$U45&gt;=K$3,学校マスタ!$U45&lt;K$3+7),"◎",IF(OR(AND(学校マスタ!$H45&lt;&gt;"",学校マスタ!$H45&gt;=K$3,学校マスタ!$H45&lt;K$3+7),AND(学校マスタ!$J45&lt;&gt;"",学校マスタ!$J45&gt;=K$3,学校マスタ!$J45&lt;K$3+7),AND(学校マスタ!$L45&lt;&gt;"",学校マスタ!$L45&gt;=K$3,学校マスタ!$L45&lt;K$3+7)),"◆",IF(AND(学校マスタ!$O45&lt;&gt;"",学校マスタ!$P45&lt;&gt;"",学校マスタ!$O45&lt;K$3+7,学校マスタ!$P45&gt;=K$3),"█",IF(AND(学校マスタ!$R45&lt;&gt;"",学校マスタ!$U45&lt;&gt;"",学校マスタ!$R45&lt;K$3+7,学校マスタ!$U45&gt;=K$3),"▒","")))))</f>
        <v/>
      </c>
      <c r="L47" s="26">
        <f>IF(学校マスタ!$A45="","",IF(AND(学校マスタ!$U45&lt;&gt;"",学校マスタ!$U45&gt;=L$3,学校マスタ!$U45&lt;L$3+7),"◎",IF(OR(AND(学校マスタ!$H45&lt;&gt;"",学校マスタ!$H45&gt;=L$3,学校マスタ!$H45&lt;L$3+7),AND(学校マスタ!$J45&lt;&gt;"",学校マスタ!$J45&gt;=L$3,学校マスタ!$J45&lt;L$3+7),AND(学校マスタ!$L45&lt;&gt;"",学校マスタ!$L45&gt;=L$3,学校マスタ!$L45&lt;L$3+7)),"◆",IF(AND(学校マスタ!$O45&lt;&gt;"",学校マスタ!$P45&lt;&gt;"",学校マスタ!$O45&lt;L$3+7,学校マスタ!$P45&gt;=L$3),"█",IF(AND(学校マスタ!$R45&lt;&gt;"",学校マスタ!$U45&lt;&gt;"",学校マスタ!$R45&lt;L$3+7,学校マスタ!$U45&gt;=L$3),"▒","")))))</f>
        <v/>
      </c>
      <c r="M47" s="26">
        <f>IF(学校マスタ!$A45="","",IF(AND(学校マスタ!$U45&lt;&gt;"",学校マスタ!$U45&gt;=M$3,学校マスタ!$U45&lt;M$3+7),"◎",IF(OR(AND(学校マスタ!$H45&lt;&gt;"",学校マスタ!$H45&gt;=M$3,学校マスタ!$H45&lt;M$3+7),AND(学校マスタ!$J45&lt;&gt;"",学校マスタ!$J45&gt;=M$3,学校マスタ!$J45&lt;M$3+7),AND(学校マスタ!$L45&lt;&gt;"",学校マスタ!$L45&gt;=M$3,学校マスタ!$L45&lt;M$3+7)),"◆",IF(AND(学校マスタ!$O45&lt;&gt;"",学校マスタ!$P45&lt;&gt;"",学校マスタ!$O45&lt;M$3+7,学校マスタ!$P45&gt;=M$3),"█",IF(AND(学校マスタ!$R45&lt;&gt;"",学校マスタ!$U45&lt;&gt;"",学校マスタ!$R45&lt;M$3+7,学校マスタ!$U45&gt;=M$3),"▒","")))))</f>
        <v/>
      </c>
      <c r="N47" s="26">
        <f>IF(学校マスタ!$A45="","",IF(AND(学校マスタ!$U45&lt;&gt;"",学校マスタ!$U45&gt;=N$3,学校マスタ!$U45&lt;N$3+7),"◎",IF(OR(AND(学校マスタ!$H45&lt;&gt;"",学校マスタ!$H45&gt;=N$3,学校マスタ!$H45&lt;N$3+7),AND(学校マスタ!$J45&lt;&gt;"",学校マスタ!$J45&gt;=N$3,学校マスタ!$J45&lt;N$3+7),AND(学校マスタ!$L45&lt;&gt;"",学校マスタ!$L45&gt;=N$3,学校マスタ!$L45&lt;N$3+7)),"◆",IF(AND(学校マスタ!$O45&lt;&gt;"",学校マスタ!$P45&lt;&gt;"",学校マスタ!$O45&lt;N$3+7,学校マスタ!$P45&gt;=N$3),"█",IF(AND(学校マスタ!$R45&lt;&gt;"",学校マスタ!$U45&lt;&gt;"",学校マスタ!$R45&lt;N$3+7,学校マスタ!$U45&gt;=N$3),"▒","")))))</f>
        <v/>
      </c>
      <c r="O47" s="26">
        <f>IF(学校マスタ!$A45="","",IF(AND(学校マスタ!$U45&lt;&gt;"",学校マスタ!$U45&gt;=O$3,学校マスタ!$U45&lt;O$3+7),"◎",IF(OR(AND(学校マスタ!$H45&lt;&gt;"",学校マスタ!$H45&gt;=O$3,学校マスタ!$H45&lt;O$3+7),AND(学校マスタ!$J45&lt;&gt;"",学校マスタ!$J45&gt;=O$3,学校マスタ!$J45&lt;O$3+7),AND(学校マスタ!$L45&lt;&gt;"",学校マスタ!$L45&gt;=O$3,学校マスタ!$L45&lt;O$3+7)),"◆",IF(AND(学校マスタ!$O45&lt;&gt;"",学校マスタ!$P45&lt;&gt;"",学校マスタ!$O45&lt;O$3+7,学校マスタ!$P45&gt;=O$3),"█",IF(AND(学校マスタ!$R45&lt;&gt;"",学校マスタ!$U45&lt;&gt;"",学校マスタ!$R45&lt;O$3+7,学校マスタ!$U45&gt;=O$3),"▒","")))))</f>
        <v/>
      </c>
      <c r="P47" s="26">
        <f>IF(学校マスタ!$A45="","",IF(AND(学校マスタ!$U45&lt;&gt;"",学校マスタ!$U45&gt;=P$3,学校マスタ!$U45&lt;P$3+7),"◎",IF(OR(AND(学校マスタ!$H45&lt;&gt;"",学校マスタ!$H45&gt;=P$3,学校マスタ!$H45&lt;P$3+7),AND(学校マスタ!$J45&lt;&gt;"",学校マスタ!$J45&gt;=P$3,学校マスタ!$J45&lt;P$3+7),AND(学校マスタ!$L45&lt;&gt;"",学校マスタ!$L45&gt;=P$3,学校マスタ!$L45&lt;P$3+7)),"◆",IF(AND(学校マスタ!$O45&lt;&gt;"",学校マスタ!$P45&lt;&gt;"",学校マスタ!$O45&lt;P$3+7,学校マスタ!$P45&gt;=P$3),"█",IF(AND(学校マスタ!$R45&lt;&gt;"",学校マスタ!$U45&lt;&gt;"",学校マスタ!$R45&lt;P$3+7,学校マスタ!$U45&gt;=P$3),"▒","")))))</f>
        <v/>
      </c>
      <c r="Q47" s="26">
        <f>IF(学校マスタ!$A45="","",IF(AND(学校マスタ!$U45&lt;&gt;"",学校マスタ!$U45&gt;=Q$3,学校マスタ!$U45&lt;Q$3+7),"◎",IF(OR(AND(学校マスタ!$H45&lt;&gt;"",学校マスタ!$H45&gt;=Q$3,学校マスタ!$H45&lt;Q$3+7),AND(学校マスタ!$J45&lt;&gt;"",学校マスタ!$J45&gt;=Q$3,学校マスタ!$J45&lt;Q$3+7),AND(学校マスタ!$L45&lt;&gt;"",学校マスタ!$L45&gt;=Q$3,学校マスタ!$L45&lt;Q$3+7)),"◆",IF(AND(学校マスタ!$O45&lt;&gt;"",学校マスタ!$P45&lt;&gt;"",学校マスタ!$O45&lt;Q$3+7,学校マスタ!$P45&gt;=Q$3),"█",IF(AND(学校マスタ!$R45&lt;&gt;"",学校マスタ!$U45&lt;&gt;"",学校マスタ!$R45&lt;Q$3+7,学校マスタ!$U45&gt;=Q$3),"▒","")))))</f>
        <v/>
      </c>
      <c r="R47" s="26">
        <f>IF(学校マスタ!$A45="","",IF(AND(学校マスタ!$U45&lt;&gt;"",学校マスタ!$U45&gt;=R$3,学校マスタ!$U45&lt;R$3+7),"◎",IF(OR(AND(学校マスタ!$H45&lt;&gt;"",学校マスタ!$H45&gt;=R$3,学校マスタ!$H45&lt;R$3+7),AND(学校マスタ!$J45&lt;&gt;"",学校マスタ!$J45&gt;=R$3,学校マスタ!$J45&lt;R$3+7),AND(学校マスタ!$L45&lt;&gt;"",学校マスタ!$L45&gt;=R$3,学校マスタ!$L45&lt;R$3+7)),"◆",IF(AND(学校マスタ!$O45&lt;&gt;"",学校マスタ!$P45&lt;&gt;"",学校マスタ!$O45&lt;R$3+7,学校マスタ!$P45&gt;=R$3),"█",IF(AND(学校マスタ!$R45&lt;&gt;"",学校マスタ!$U45&lt;&gt;"",学校マスタ!$R45&lt;R$3+7,学校マスタ!$U45&gt;=R$3),"▒","")))))</f>
        <v/>
      </c>
      <c r="S47" s="26">
        <f>IF(学校マスタ!$A45="","",IF(AND(学校マスタ!$U45&lt;&gt;"",学校マスタ!$U45&gt;=S$3,学校マスタ!$U45&lt;S$3+7),"◎",IF(OR(AND(学校マスタ!$H45&lt;&gt;"",学校マスタ!$H45&gt;=S$3,学校マスタ!$H45&lt;S$3+7),AND(学校マスタ!$J45&lt;&gt;"",学校マスタ!$J45&gt;=S$3,学校マスタ!$J45&lt;S$3+7),AND(学校マスタ!$L45&lt;&gt;"",学校マスタ!$L45&gt;=S$3,学校マスタ!$L45&lt;S$3+7)),"◆",IF(AND(学校マスタ!$O45&lt;&gt;"",学校マスタ!$P45&lt;&gt;"",学校マスタ!$O45&lt;S$3+7,学校マスタ!$P45&gt;=S$3),"█",IF(AND(学校マスタ!$R45&lt;&gt;"",学校マスタ!$U45&lt;&gt;"",学校マスタ!$R45&lt;S$3+7,学校マスタ!$U45&gt;=S$3),"▒","")))))</f>
        <v/>
      </c>
      <c r="T47" s="26">
        <f>IF(学校マスタ!$A45="","",IF(AND(学校マスタ!$U45&lt;&gt;"",学校マスタ!$U45&gt;=T$3,学校マスタ!$U45&lt;T$3+7),"◎",IF(OR(AND(学校マスタ!$H45&lt;&gt;"",学校マスタ!$H45&gt;=T$3,学校マスタ!$H45&lt;T$3+7),AND(学校マスタ!$J45&lt;&gt;"",学校マスタ!$J45&gt;=T$3,学校マスタ!$J45&lt;T$3+7),AND(学校マスタ!$L45&lt;&gt;"",学校マスタ!$L45&gt;=T$3,学校マスタ!$L45&lt;T$3+7)),"◆",IF(AND(学校マスタ!$O45&lt;&gt;"",学校マスタ!$P45&lt;&gt;"",学校マスタ!$O45&lt;T$3+7,学校マスタ!$P45&gt;=T$3),"█",IF(AND(学校マスタ!$R45&lt;&gt;"",学校マスタ!$U45&lt;&gt;"",学校マスタ!$R45&lt;T$3+7,学校マスタ!$U45&gt;=T$3),"▒","")))))</f>
        <v/>
      </c>
      <c r="U47" s="26">
        <f>IF(学校マスタ!$A45="","",IF(AND(学校マスタ!$U45&lt;&gt;"",学校マスタ!$U45&gt;=U$3,学校マスタ!$U45&lt;U$3+7),"◎",IF(OR(AND(学校マスタ!$H45&lt;&gt;"",学校マスタ!$H45&gt;=U$3,学校マスタ!$H45&lt;U$3+7),AND(学校マスタ!$J45&lt;&gt;"",学校マスタ!$J45&gt;=U$3,学校マスタ!$J45&lt;U$3+7),AND(学校マスタ!$L45&lt;&gt;"",学校マスタ!$L45&gt;=U$3,学校マスタ!$L45&lt;U$3+7)),"◆",IF(AND(学校マスタ!$O45&lt;&gt;"",学校マスタ!$P45&lt;&gt;"",学校マスタ!$O45&lt;U$3+7,学校マスタ!$P45&gt;=U$3),"█",IF(AND(学校マスタ!$R45&lt;&gt;"",学校マスタ!$U45&lt;&gt;"",学校マスタ!$R45&lt;U$3+7,学校マスタ!$U45&gt;=U$3),"▒","")))))</f>
        <v/>
      </c>
      <c r="V47" s="26">
        <f>IF(学校マスタ!$A45="","",IF(AND(学校マスタ!$U45&lt;&gt;"",学校マスタ!$U45&gt;=V$3,学校マスタ!$U45&lt;V$3+7),"◎",IF(OR(AND(学校マスタ!$H45&lt;&gt;"",学校マスタ!$H45&gt;=V$3,学校マスタ!$H45&lt;V$3+7),AND(学校マスタ!$J45&lt;&gt;"",学校マスタ!$J45&gt;=V$3,学校マスタ!$J45&lt;V$3+7),AND(学校マスタ!$L45&lt;&gt;"",学校マスタ!$L45&gt;=V$3,学校マスタ!$L45&lt;V$3+7)),"◆",IF(AND(学校マスタ!$O45&lt;&gt;"",学校マスタ!$P45&lt;&gt;"",学校マスタ!$O45&lt;V$3+7,学校マスタ!$P45&gt;=V$3),"█",IF(AND(学校マスタ!$R45&lt;&gt;"",学校マスタ!$U45&lt;&gt;"",学校マスタ!$R45&lt;V$3+7,学校マスタ!$U45&gt;=V$3),"▒","")))))</f>
        <v/>
      </c>
      <c r="W47" s="26">
        <f>IF(学校マスタ!$A45="","",IF(AND(学校マスタ!$U45&lt;&gt;"",学校マスタ!$U45&gt;=W$3,学校マスタ!$U45&lt;W$3+7),"◎",IF(OR(AND(学校マスタ!$H45&lt;&gt;"",学校マスタ!$H45&gt;=W$3,学校マスタ!$H45&lt;W$3+7),AND(学校マスタ!$J45&lt;&gt;"",学校マスタ!$J45&gt;=W$3,学校マスタ!$J45&lt;W$3+7),AND(学校マスタ!$L45&lt;&gt;"",学校マスタ!$L45&gt;=W$3,学校マスタ!$L45&lt;W$3+7)),"◆",IF(AND(学校マスタ!$O45&lt;&gt;"",学校マスタ!$P45&lt;&gt;"",学校マスタ!$O45&lt;W$3+7,学校マスタ!$P45&gt;=W$3),"█",IF(AND(学校マスタ!$R45&lt;&gt;"",学校マスタ!$U45&lt;&gt;"",学校マスタ!$R45&lt;W$3+7,学校マスタ!$U45&gt;=W$3),"▒","")))))</f>
        <v/>
      </c>
      <c r="X47" s="26">
        <f>IF(学校マスタ!$A45="","",IF(AND(学校マスタ!$U45&lt;&gt;"",学校マスタ!$U45&gt;=X$3,学校マスタ!$U45&lt;X$3+7),"◎",IF(OR(AND(学校マスタ!$H45&lt;&gt;"",学校マスタ!$H45&gt;=X$3,学校マスタ!$H45&lt;X$3+7),AND(学校マスタ!$J45&lt;&gt;"",学校マスタ!$J45&gt;=X$3,学校マスタ!$J45&lt;X$3+7),AND(学校マスタ!$L45&lt;&gt;"",学校マスタ!$L45&gt;=X$3,学校マスタ!$L45&lt;X$3+7)),"◆",IF(AND(学校マスタ!$O45&lt;&gt;"",学校マスタ!$P45&lt;&gt;"",学校マスタ!$O45&lt;X$3+7,学校マスタ!$P45&gt;=X$3),"█",IF(AND(学校マスタ!$R45&lt;&gt;"",学校マスタ!$U45&lt;&gt;"",学校マスタ!$R45&lt;X$3+7,学校マスタ!$U45&gt;=X$3),"▒","")))))</f>
        <v/>
      </c>
      <c r="Y47" s="26">
        <f>IF(学校マスタ!$A45="","",IF(AND(学校マスタ!$U45&lt;&gt;"",学校マスタ!$U45&gt;=Y$3,学校マスタ!$U45&lt;Y$3+7),"◎",IF(OR(AND(学校マスタ!$H45&lt;&gt;"",学校マスタ!$H45&gt;=Y$3,学校マスタ!$H45&lt;Y$3+7),AND(学校マスタ!$J45&lt;&gt;"",学校マスタ!$J45&gt;=Y$3,学校マスタ!$J45&lt;Y$3+7),AND(学校マスタ!$L45&lt;&gt;"",学校マスタ!$L45&gt;=Y$3,学校マスタ!$L45&lt;Y$3+7)),"◆",IF(AND(学校マスタ!$O45&lt;&gt;"",学校マスタ!$P45&lt;&gt;"",学校マスタ!$O45&lt;Y$3+7,学校マスタ!$P45&gt;=Y$3),"█",IF(AND(学校マスタ!$R45&lt;&gt;"",学校マスタ!$U45&lt;&gt;"",学校マスタ!$R45&lt;Y$3+7,学校マスタ!$U45&gt;=Y$3),"▒","")))))</f>
        <v/>
      </c>
      <c r="Z47" s="26">
        <f>IF(学校マスタ!$A45="","",IF(AND(学校マスタ!$U45&lt;&gt;"",学校マスタ!$U45&gt;=Z$3,学校マスタ!$U45&lt;Z$3+7),"◎",IF(OR(AND(学校マスタ!$H45&lt;&gt;"",学校マスタ!$H45&gt;=Z$3,学校マスタ!$H45&lt;Z$3+7),AND(学校マスタ!$J45&lt;&gt;"",学校マスタ!$J45&gt;=Z$3,学校マスタ!$J45&lt;Z$3+7),AND(学校マスタ!$L45&lt;&gt;"",学校マスタ!$L45&gt;=Z$3,学校マスタ!$L45&lt;Z$3+7)),"◆",IF(AND(学校マスタ!$O45&lt;&gt;"",学校マスタ!$P45&lt;&gt;"",学校マスタ!$O45&lt;Z$3+7,学校マスタ!$P45&gt;=Z$3),"█",IF(AND(学校マスタ!$R45&lt;&gt;"",学校マスタ!$U45&lt;&gt;"",学校マスタ!$R45&lt;Z$3+7,学校マスタ!$U45&gt;=Z$3),"▒","")))))</f>
        <v/>
      </c>
      <c r="AA47" s="26">
        <f>IF(学校マスタ!$A45="","",IF(AND(学校マスタ!$U45&lt;&gt;"",学校マスタ!$U45&gt;=AA$3,学校マスタ!$U45&lt;AA$3+7),"◎",IF(OR(AND(学校マスタ!$H45&lt;&gt;"",学校マスタ!$H45&gt;=AA$3,学校マスタ!$H45&lt;AA$3+7),AND(学校マスタ!$J45&lt;&gt;"",学校マスタ!$J45&gt;=AA$3,学校マスタ!$J45&lt;AA$3+7),AND(学校マスタ!$L45&lt;&gt;"",学校マスタ!$L45&gt;=AA$3,学校マスタ!$L45&lt;AA$3+7)),"◆",IF(AND(学校マスタ!$O45&lt;&gt;"",学校マスタ!$P45&lt;&gt;"",学校マスタ!$O45&lt;AA$3+7,学校マスタ!$P45&gt;=AA$3),"█",IF(AND(学校マスタ!$R45&lt;&gt;"",学校マスタ!$U45&lt;&gt;"",学校マスタ!$R45&lt;AA$3+7,学校マスタ!$U45&gt;=AA$3),"▒","")))))</f>
        <v/>
      </c>
      <c r="AB47" s="26">
        <f>IF(学校マスタ!$A45="","",IF(AND(学校マスタ!$U45&lt;&gt;"",学校マスタ!$U45&gt;=AB$3,学校マスタ!$U45&lt;AB$3+7),"◎",IF(OR(AND(学校マスタ!$H45&lt;&gt;"",学校マスタ!$H45&gt;=AB$3,学校マスタ!$H45&lt;AB$3+7),AND(学校マスタ!$J45&lt;&gt;"",学校マスタ!$J45&gt;=AB$3,学校マスタ!$J45&lt;AB$3+7),AND(学校マスタ!$L45&lt;&gt;"",学校マスタ!$L45&gt;=AB$3,学校マスタ!$L45&lt;AB$3+7)),"◆",IF(AND(学校マスタ!$O45&lt;&gt;"",学校マスタ!$P45&lt;&gt;"",学校マスタ!$O45&lt;AB$3+7,学校マスタ!$P45&gt;=AB$3),"█",IF(AND(学校マスタ!$R45&lt;&gt;"",学校マスタ!$U45&lt;&gt;"",学校マスタ!$R45&lt;AB$3+7,学校マスタ!$U45&gt;=AB$3),"▒","")))))</f>
        <v/>
      </c>
    </row>
    <row r="48">
      <c r="A48" s="19">
        <f>IF(学校マスタ!$A46="","",学校マスタ!$A46)</f>
        <v/>
      </c>
      <c r="B48" s="19">
        <f>IF(学校マスタ!$A46="","",学校マスタ!$C46)</f>
        <v/>
      </c>
      <c r="C48" s="19">
        <f>IF(学校マスタ!$A46="","",学校マスタ!$X46)</f>
        <v/>
      </c>
      <c r="D48" s="25">
        <f>IF(学校マスタ!$A46="","",学校マスタ!$R46)</f>
        <v/>
      </c>
      <c r="E48" s="26">
        <f>IF(学校マスタ!$A46="","",IF(AND(学校マスタ!$U46&lt;&gt;"",学校マスタ!$U46&gt;=E$3,学校マスタ!$U46&lt;E$3+7),"◎",IF(OR(AND(学校マスタ!$H46&lt;&gt;"",学校マスタ!$H46&gt;=E$3,学校マスタ!$H46&lt;E$3+7),AND(学校マスタ!$J46&lt;&gt;"",学校マスタ!$J46&gt;=E$3,学校マスタ!$J46&lt;E$3+7),AND(学校マスタ!$L46&lt;&gt;"",学校マスタ!$L46&gt;=E$3,学校マスタ!$L46&lt;E$3+7)),"◆",IF(AND(学校マスタ!$O46&lt;&gt;"",学校マスタ!$P46&lt;&gt;"",学校マスタ!$O46&lt;E$3+7,学校マスタ!$P46&gt;=E$3),"█",IF(AND(学校マスタ!$R46&lt;&gt;"",学校マスタ!$U46&lt;&gt;"",学校マスタ!$R46&lt;E$3+7,学校マスタ!$U46&gt;=E$3),"▒","")))))</f>
        <v/>
      </c>
      <c r="F48" s="26">
        <f>IF(学校マスタ!$A46="","",IF(AND(学校マスタ!$U46&lt;&gt;"",学校マスタ!$U46&gt;=F$3,学校マスタ!$U46&lt;F$3+7),"◎",IF(OR(AND(学校マスタ!$H46&lt;&gt;"",学校マスタ!$H46&gt;=F$3,学校マスタ!$H46&lt;F$3+7),AND(学校マスタ!$J46&lt;&gt;"",学校マスタ!$J46&gt;=F$3,学校マスタ!$J46&lt;F$3+7),AND(学校マスタ!$L46&lt;&gt;"",学校マスタ!$L46&gt;=F$3,学校マスタ!$L46&lt;F$3+7)),"◆",IF(AND(学校マスタ!$O46&lt;&gt;"",学校マスタ!$P46&lt;&gt;"",学校マスタ!$O46&lt;F$3+7,学校マスタ!$P46&gt;=F$3),"█",IF(AND(学校マスタ!$R46&lt;&gt;"",学校マスタ!$U46&lt;&gt;"",学校マスタ!$R46&lt;F$3+7,学校マスタ!$U46&gt;=F$3),"▒","")))))</f>
        <v/>
      </c>
      <c r="G48" s="26">
        <f>IF(学校マスタ!$A46="","",IF(AND(学校マスタ!$U46&lt;&gt;"",学校マスタ!$U46&gt;=G$3,学校マスタ!$U46&lt;G$3+7),"◎",IF(OR(AND(学校マスタ!$H46&lt;&gt;"",学校マスタ!$H46&gt;=G$3,学校マスタ!$H46&lt;G$3+7),AND(学校マスタ!$J46&lt;&gt;"",学校マスタ!$J46&gt;=G$3,学校マスタ!$J46&lt;G$3+7),AND(学校マスタ!$L46&lt;&gt;"",学校マスタ!$L46&gt;=G$3,学校マスタ!$L46&lt;G$3+7)),"◆",IF(AND(学校マスタ!$O46&lt;&gt;"",学校マスタ!$P46&lt;&gt;"",学校マスタ!$O46&lt;G$3+7,学校マスタ!$P46&gt;=G$3),"█",IF(AND(学校マスタ!$R46&lt;&gt;"",学校マスタ!$U46&lt;&gt;"",学校マスタ!$R46&lt;G$3+7,学校マスタ!$U46&gt;=G$3),"▒","")))))</f>
        <v/>
      </c>
      <c r="H48" s="26">
        <f>IF(学校マスタ!$A46="","",IF(AND(学校マスタ!$U46&lt;&gt;"",学校マスタ!$U46&gt;=H$3,学校マスタ!$U46&lt;H$3+7),"◎",IF(OR(AND(学校マスタ!$H46&lt;&gt;"",学校マスタ!$H46&gt;=H$3,学校マスタ!$H46&lt;H$3+7),AND(学校マスタ!$J46&lt;&gt;"",学校マスタ!$J46&gt;=H$3,学校マスタ!$J46&lt;H$3+7),AND(学校マスタ!$L46&lt;&gt;"",学校マスタ!$L46&gt;=H$3,学校マスタ!$L46&lt;H$3+7)),"◆",IF(AND(学校マスタ!$O46&lt;&gt;"",学校マスタ!$P46&lt;&gt;"",学校マスタ!$O46&lt;H$3+7,学校マスタ!$P46&gt;=H$3),"█",IF(AND(学校マスタ!$R46&lt;&gt;"",学校マスタ!$U46&lt;&gt;"",学校マスタ!$R46&lt;H$3+7,学校マスタ!$U46&gt;=H$3),"▒","")))))</f>
        <v/>
      </c>
      <c r="I48" s="26">
        <f>IF(学校マスタ!$A46="","",IF(AND(学校マスタ!$U46&lt;&gt;"",学校マスタ!$U46&gt;=I$3,学校マスタ!$U46&lt;I$3+7),"◎",IF(OR(AND(学校マスタ!$H46&lt;&gt;"",学校マスタ!$H46&gt;=I$3,学校マスタ!$H46&lt;I$3+7),AND(学校マスタ!$J46&lt;&gt;"",学校マスタ!$J46&gt;=I$3,学校マスタ!$J46&lt;I$3+7),AND(学校マスタ!$L46&lt;&gt;"",学校マスタ!$L46&gt;=I$3,学校マスタ!$L46&lt;I$3+7)),"◆",IF(AND(学校マスタ!$O46&lt;&gt;"",学校マスタ!$P46&lt;&gt;"",学校マスタ!$O46&lt;I$3+7,学校マスタ!$P46&gt;=I$3),"█",IF(AND(学校マスタ!$R46&lt;&gt;"",学校マスタ!$U46&lt;&gt;"",学校マスタ!$R46&lt;I$3+7,学校マスタ!$U46&gt;=I$3),"▒","")))))</f>
        <v/>
      </c>
      <c r="J48" s="26">
        <f>IF(学校マスタ!$A46="","",IF(AND(学校マスタ!$U46&lt;&gt;"",学校マスタ!$U46&gt;=J$3,学校マスタ!$U46&lt;J$3+7),"◎",IF(OR(AND(学校マスタ!$H46&lt;&gt;"",学校マスタ!$H46&gt;=J$3,学校マスタ!$H46&lt;J$3+7),AND(学校マスタ!$J46&lt;&gt;"",学校マスタ!$J46&gt;=J$3,学校マスタ!$J46&lt;J$3+7),AND(学校マスタ!$L46&lt;&gt;"",学校マスタ!$L46&gt;=J$3,学校マスタ!$L46&lt;J$3+7)),"◆",IF(AND(学校マスタ!$O46&lt;&gt;"",学校マスタ!$P46&lt;&gt;"",学校マスタ!$O46&lt;J$3+7,学校マスタ!$P46&gt;=J$3),"█",IF(AND(学校マスタ!$R46&lt;&gt;"",学校マスタ!$U46&lt;&gt;"",学校マスタ!$R46&lt;J$3+7,学校マスタ!$U46&gt;=J$3),"▒","")))))</f>
        <v/>
      </c>
      <c r="K48" s="26">
        <f>IF(学校マスタ!$A46="","",IF(AND(学校マスタ!$U46&lt;&gt;"",学校マスタ!$U46&gt;=K$3,学校マスタ!$U46&lt;K$3+7),"◎",IF(OR(AND(学校マスタ!$H46&lt;&gt;"",学校マスタ!$H46&gt;=K$3,学校マスタ!$H46&lt;K$3+7),AND(学校マスタ!$J46&lt;&gt;"",学校マスタ!$J46&gt;=K$3,学校マスタ!$J46&lt;K$3+7),AND(学校マスタ!$L46&lt;&gt;"",学校マスタ!$L46&gt;=K$3,学校マスタ!$L46&lt;K$3+7)),"◆",IF(AND(学校マスタ!$O46&lt;&gt;"",学校マスタ!$P46&lt;&gt;"",学校マスタ!$O46&lt;K$3+7,学校マスタ!$P46&gt;=K$3),"█",IF(AND(学校マスタ!$R46&lt;&gt;"",学校マスタ!$U46&lt;&gt;"",学校マスタ!$R46&lt;K$3+7,学校マスタ!$U46&gt;=K$3),"▒","")))))</f>
        <v/>
      </c>
      <c r="L48" s="26">
        <f>IF(学校マスタ!$A46="","",IF(AND(学校マスタ!$U46&lt;&gt;"",学校マスタ!$U46&gt;=L$3,学校マスタ!$U46&lt;L$3+7),"◎",IF(OR(AND(学校マスタ!$H46&lt;&gt;"",学校マスタ!$H46&gt;=L$3,学校マスタ!$H46&lt;L$3+7),AND(学校マスタ!$J46&lt;&gt;"",学校マスタ!$J46&gt;=L$3,学校マスタ!$J46&lt;L$3+7),AND(学校マスタ!$L46&lt;&gt;"",学校マスタ!$L46&gt;=L$3,学校マスタ!$L46&lt;L$3+7)),"◆",IF(AND(学校マスタ!$O46&lt;&gt;"",学校マスタ!$P46&lt;&gt;"",学校マスタ!$O46&lt;L$3+7,学校マスタ!$P46&gt;=L$3),"█",IF(AND(学校マスタ!$R46&lt;&gt;"",学校マスタ!$U46&lt;&gt;"",学校マスタ!$R46&lt;L$3+7,学校マスタ!$U46&gt;=L$3),"▒","")))))</f>
        <v/>
      </c>
      <c r="M48" s="26">
        <f>IF(学校マスタ!$A46="","",IF(AND(学校マスタ!$U46&lt;&gt;"",学校マスタ!$U46&gt;=M$3,学校マスタ!$U46&lt;M$3+7),"◎",IF(OR(AND(学校マスタ!$H46&lt;&gt;"",学校マスタ!$H46&gt;=M$3,学校マスタ!$H46&lt;M$3+7),AND(学校マスタ!$J46&lt;&gt;"",学校マスタ!$J46&gt;=M$3,学校マスタ!$J46&lt;M$3+7),AND(学校マスタ!$L46&lt;&gt;"",学校マスタ!$L46&gt;=M$3,学校マスタ!$L46&lt;M$3+7)),"◆",IF(AND(学校マスタ!$O46&lt;&gt;"",学校マスタ!$P46&lt;&gt;"",学校マスタ!$O46&lt;M$3+7,学校マスタ!$P46&gt;=M$3),"█",IF(AND(学校マスタ!$R46&lt;&gt;"",学校マスタ!$U46&lt;&gt;"",学校マスタ!$R46&lt;M$3+7,学校マスタ!$U46&gt;=M$3),"▒","")))))</f>
        <v/>
      </c>
      <c r="N48" s="26">
        <f>IF(学校マスタ!$A46="","",IF(AND(学校マスタ!$U46&lt;&gt;"",学校マスタ!$U46&gt;=N$3,学校マスタ!$U46&lt;N$3+7),"◎",IF(OR(AND(学校マスタ!$H46&lt;&gt;"",学校マスタ!$H46&gt;=N$3,学校マスタ!$H46&lt;N$3+7),AND(学校マスタ!$J46&lt;&gt;"",学校マスタ!$J46&gt;=N$3,学校マスタ!$J46&lt;N$3+7),AND(学校マスタ!$L46&lt;&gt;"",学校マスタ!$L46&gt;=N$3,学校マスタ!$L46&lt;N$3+7)),"◆",IF(AND(学校マスタ!$O46&lt;&gt;"",学校マスタ!$P46&lt;&gt;"",学校マスタ!$O46&lt;N$3+7,学校マスタ!$P46&gt;=N$3),"█",IF(AND(学校マスタ!$R46&lt;&gt;"",学校マスタ!$U46&lt;&gt;"",学校マスタ!$R46&lt;N$3+7,学校マスタ!$U46&gt;=N$3),"▒","")))))</f>
        <v/>
      </c>
      <c r="O48" s="26">
        <f>IF(学校マスタ!$A46="","",IF(AND(学校マスタ!$U46&lt;&gt;"",学校マスタ!$U46&gt;=O$3,学校マスタ!$U46&lt;O$3+7),"◎",IF(OR(AND(学校マスタ!$H46&lt;&gt;"",学校マスタ!$H46&gt;=O$3,学校マスタ!$H46&lt;O$3+7),AND(学校マスタ!$J46&lt;&gt;"",学校マスタ!$J46&gt;=O$3,学校マスタ!$J46&lt;O$3+7),AND(学校マスタ!$L46&lt;&gt;"",学校マスタ!$L46&gt;=O$3,学校マスタ!$L46&lt;O$3+7)),"◆",IF(AND(学校マスタ!$O46&lt;&gt;"",学校マスタ!$P46&lt;&gt;"",学校マスタ!$O46&lt;O$3+7,学校マスタ!$P46&gt;=O$3),"█",IF(AND(学校マスタ!$R46&lt;&gt;"",学校マスタ!$U46&lt;&gt;"",学校マスタ!$R46&lt;O$3+7,学校マスタ!$U46&gt;=O$3),"▒","")))))</f>
        <v/>
      </c>
      <c r="P48" s="26">
        <f>IF(学校マスタ!$A46="","",IF(AND(学校マスタ!$U46&lt;&gt;"",学校マスタ!$U46&gt;=P$3,学校マスタ!$U46&lt;P$3+7),"◎",IF(OR(AND(学校マスタ!$H46&lt;&gt;"",学校マスタ!$H46&gt;=P$3,学校マスタ!$H46&lt;P$3+7),AND(学校マスタ!$J46&lt;&gt;"",学校マスタ!$J46&gt;=P$3,学校マスタ!$J46&lt;P$3+7),AND(学校マスタ!$L46&lt;&gt;"",学校マスタ!$L46&gt;=P$3,学校マスタ!$L46&lt;P$3+7)),"◆",IF(AND(学校マスタ!$O46&lt;&gt;"",学校マスタ!$P46&lt;&gt;"",学校マスタ!$O46&lt;P$3+7,学校マスタ!$P46&gt;=P$3),"█",IF(AND(学校マスタ!$R46&lt;&gt;"",学校マスタ!$U46&lt;&gt;"",学校マスタ!$R46&lt;P$3+7,学校マスタ!$U46&gt;=P$3),"▒","")))))</f>
        <v/>
      </c>
      <c r="Q48" s="26">
        <f>IF(学校マスタ!$A46="","",IF(AND(学校マスタ!$U46&lt;&gt;"",学校マスタ!$U46&gt;=Q$3,学校マスタ!$U46&lt;Q$3+7),"◎",IF(OR(AND(学校マスタ!$H46&lt;&gt;"",学校マスタ!$H46&gt;=Q$3,学校マスタ!$H46&lt;Q$3+7),AND(学校マスタ!$J46&lt;&gt;"",学校マスタ!$J46&gt;=Q$3,学校マスタ!$J46&lt;Q$3+7),AND(学校マスタ!$L46&lt;&gt;"",学校マスタ!$L46&gt;=Q$3,学校マスタ!$L46&lt;Q$3+7)),"◆",IF(AND(学校マスタ!$O46&lt;&gt;"",学校マスタ!$P46&lt;&gt;"",学校マスタ!$O46&lt;Q$3+7,学校マスタ!$P46&gt;=Q$3),"█",IF(AND(学校マスタ!$R46&lt;&gt;"",学校マスタ!$U46&lt;&gt;"",学校マスタ!$R46&lt;Q$3+7,学校マスタ!$U46&gt;=Q$3),"▒","")))))</f>
        <v/>
      </c>
      <c r="R48" s="26">
        <f>IF(学校マスタ!$A46="","",IF(AND(学校マスタ!$U46&lt;&gt;"",学校マスタ!$U46&gt;=R$3,学校マスタ!$U46&lt;R$3+7),"◎",IF(OR(AND(学校マスタ!$H46&lt;&gt;"",学校マスタ!$H46&gt;=R$3,学校マスタ!$H46&lt;R$3+7),AND(学校マスタ!$J46&lt;&gt;"",学校マスタ!$J46&gt;=R$3,学校マスタ!$J46&lt;R$3+7),AND(学校マスタ!$L46&lt;&gt;"",学校マスタ!$L46&gt;=R$3,学校マスタ!$L46&lt;R$3+7)),"◆",IF(AND(学校マスタ!$O46&lt;&gt;"",学校マスタ!$P46&lt;&gt;"",学校マスタ!$O46&lt;R$3+7,学校マスタ!$P46&gt;=R$3),"█",IF(AND(学校マスタ!$R46&lt;&gt;"",学校マスタ!$U46&lt;&gt;"",学校マスタ!$R46&lt;R$3+7,学校マスタ!$U46&gt;=R$3),"▒","")))))</f>
        <v/>
      </c>
      <c r="S48" s="26">
        <f>IF(学校マスタ!$A46="","",IF(AND(学校マスタ!$U46&lt;&gt;"",学校マスタ!$U46&gt;=S$3,学校マスタ!$U46&lt;S$3+7),"◎",IF(OR(AND(学校マスタ!$H46&lt;&gt;"",学校マスタ!$H46&gt;=S$3,学校マスタ!$H46&lt;S$3+7),AND(学校マスタ!$J46&lt;&gt;"",学校マスタ!$J46&gt;=S$3,学校マスタ!$J46&lt;S$3+7),AND(学校マスタ!$L46&lt;&gt;"",学校マスタ!$L46&gt;=S$3,学校マスタ!$L46&lt;S$3+7)),"◆",IF(AND(学校マスタ!$O46&lt;&gt;"",学校マスタ!$P46&lt;&gt;"",学校マスタ!$O46&lt;S$3+7,学校マスタ!$P46&gt;=S$3),"█",IF(AND(学校マスタ!$R46&lt;&gt;"",学校マスタ!$U46&lt;&gt;"",学校マスタ!$R46&lt;S$3+7,学校マスタ!$U46&gt;=S$3),"▒","")))))</f>
        <v/>
      </c>
      <c r="T48" s="26">
        <f>IF(学校マスタ!$A46="","",IF(AND(学校マスタ!$U46&lt;&gt;"",学校マスタ!$U46&gt;=T$3,学校マスタ!$U46&lt;T$3+7),"◎",IF(OR(AND(学校マスタ!$H46&lt;&gt;"",学校マスタ!$H46&gt;=T$3,学校マスタ!$H46&lt;T$3+7),AND(学校マスタ!$J46&lt;&gt;"",学校マスタ!$J46&gt;=T$3,学校マスタ!$J46&lt;T$3+7),AND(学校マスタ!$L46&lt;&gt;"",学校マスタ!$L46&gt;=T$3,学校マスタ!$L46&lt;T$3+7)),"◆",IF(AND(学校マスタ!$O46&lt;&gt;"",学校マスタ!$P46&lt;&gt;"",学校マスタ!$O46&lt;T$3+7,学校マスタ!$P46&gt;=T$3),"█",IF(AND(学校マスタ!$R46&lt;&gt;"",学校マスタ!$U46&lt;&gt;"",学校マスタ!$R46&lt;T$3+7,学校マスタ!$U46&gt;=T$3),"▒","")))))</f>
        <v/>
      </c>
      <c r="U48" s="26">
        <f>IF(学校マスタ!$A46="","",IF(AND(学校マスタ!$U46&lt;&gt;"",学校マスタ!$U46&gt;=U$3,学校マスタ!$U46&lt;U$3+7),"◎",IF(OR(AND(学校マスタ!$H46&lt;&gt;"",学校マスタ!$H46&gt;=U$3,学校マスタ!$H46&lt;U$3+7),AND(学校マスタ!$J46&lt;&gt;"",学校マスタ!$J46&gt;=U$3,学校マスタ!$J46&lt;U$3+7),AND(学校マスタ!$L46&lt;&gt;"",学校マスタ!$L46&gt;=U$3,学校マスタ!$L46&lt;U$3+7)),"◆",IF(AND(学校マスタ!$O46&lt;&gt;"",学校マスタ!$P46&lt;&gt;"",学校マスタ!$O46&lt;U$3+7,学校マスタ!$P46&gt;=U$3),"█",IF(AND(学校マスタ!$R46&lt;&gt;"",学校マスタ!$U46&lt;&gt;"",学校マスタ!$R46&lt;U$3+7,学校マスタ!$U46&gt;=U$3),"▒","")))))</f>
        <v/>
      </c>
      <c r="V48" s="26">
        <f>IF(学校マスタ!$A46="","",IF(AND(学校マスタ!$U46&lt;&gt;"",学校マスタ!$U46&gt;=V$3,学校マスタ!$U46&lt;V$3+7),"◎",IF(OR(AND(学校マスタ!$H46&lt;&gt;"",学校マスタ!$H46&gt;=V$3,学校マスタ!$H46&lt;V$3+7),AND(学校マスタ!$J46&lt;&gt;"",学校マスタ!$J46&gt;=V$3,学校マスタ!$J46&lt;V$3+7),AND(学校マスタ!$L46&lt;&gt;"",学校マスタ!$L46&gt;=V$3,学校マスタ!$L46&lt;V$3+7)),"◆",IF(AND(学校マスタ!$O46&lt;&gt;"",学校マスタ!$P46&lt;&gt;"",学校マスタ!$O46&lt;V$3+7,学校マスタ!$P46&gt;=V$3),"█",IF(AND(学校マスタ!$R46&lt;&gt;"",学校マスタ!$U46&lt;&gt;"",学校マスタ!$R46&lt;V$3+7,学校マスタ!$U46&gt;=V$3),"▒","")))))</f>
        <v/>
      </c>
      <c r="W48" s="26">
        <f>IF(学校マスタ!$A46="","",IF(AND(学校マスタ!$U46&lt;&gt;"",学校マスタ!$U46&gt;=W$3,学校マスタ!$U46&lt;W$3+7),"◎",IF(OR(AND(学校マスタ!$H46&lt;&gt;"",学校マスタ!$H46&gt;=W$3,学校マスタ!$H46&lt;W$3+7),AND(学校マスタ!$J46&lt;&gt;"",学校マスタ!$J46&gt;=W$3,学校マスタ!$J46&lt;W$3+7),AND(学校マスタ!$L46&lt;&gt;"",学校マスタ!$L46&gt;=W$3,学校マスタ!$L46&lt;W$3+7)),"◆",IF(AND(学校マスタ!$O46&lt;&gt;"",学校マスタ!$P46&lt;&gt;"",学校マスタ!$O46&lt;W$3+7,学校マスタ!$P46&gt;=W$3),"█",IF(AND(学校マスタ!$R46&lt;&gt;"",学校マスタ!$U46&lt;&gt;"",学校マスタ!$R46&lt;W$3+7,学校マスタ!$U46&gt;=W$3),"▒","")))))</f>
        <v/>
      </c>
      <c r="X48" s="26">
        <f>IF(学校マスタ!$A46="","",IF(AND(学校マスタ!$U46&lt;&gt;"",学校マスタ!$U46&gt;=X$3,学校マスタ!$U46&lt;X$3+7),"◎",IF(OR(AND(学校マスタ!$H46&lt;&gt;"",学校マスタ!$H46&gt;=X$3,学校マスタ!$H46&lt;X$3+7),AND(学校マスタ!$J46&lt;&gt;"",学校マスタ!$J46&gt;=X$3,学校マスタ!$J46&lt;X$3+7),AND(学校マスタ!$L46&lt;&gt;"",学校マスタ!$L46&gt;=X$3,学校マスタ!$L46&lt;X$3+7)),"◆",IF(AND(学校マスタ!$O46&lt;&gt;"",学校マスタ!$P46&lt;&gt;"",学校マスタ!$O46&lt;X$3+7,学校マスタ!$P46&gt;=X$3),"█",IF(AND(学校マスタ!$R46&lt;&gt;"",学校マスタ!$U46&lt;&gt;"",学校マスタ!$R46&lt;X$3+7,学校マスタ!$U46&gt;=X$3),"▒","")))))</f>
        <v/>
      </c>
      <c r="Y48" s="26">
        <f>IF(学校マスタ!$A46="","",IF(AND(学校マスタ!$U46&lt;&gt;"",学校マスタ!$U46&gt;=Y$3,学校マスタ!$U46&lt;Y$3+7),"◎",IF(OR(AND(学校マスタ!$H46&lt;&gt;"",学校マスタ!$H46&gt;=Y$3,学校マスタ!$H46&lt;Y$3+7),AND(学校マスタ!$J46&lt;&gt;"",学校マスタ!$J46&gt;=Y$3,学校マスタ!$J46&lt;Y$3+7),AND(学校マスタ!$L46&lt;&gt;"",学校マスタ!$L46&gt;=Y$3,学校マスタ!$L46&lt;Y$3+7)),"◆",IF(AND(学校マスタ!$O46&lt;&gt;"",学校マスタ!$P46&lt;&gt;"",学校マスタ!$O46&lt;Y$3+7,学校マスタ!$P46&gt;=Y$3),"█",IF(AND(学校マスタ!$R46&lt;&gt;"",学校マスタ!$U46&lt;&gt;"",学校マスタ!$R46&lt;Y$3+7,学校マスタ!$U46&gt;=Y$3),"▒","")))))</f>
        <v/>
      </c>
      <c r="Z48" s="26">
        <f>IF(学校マスタ!$A46="","",IF(AND(学校マスタ!$U46&lt;&gt;"",学校マスタ!$U46&gt;=Z$3,学校マスタ!$U46&lt;Z$3+7),"◎",IF(OR(AND(学校マスタ!$H46&lt;&gt;"",学校マスタ!$H46&gt;=Z$3,学校マスタ!$H46&lt;Z$3+7),AND(学校マスタ!$J46&lt;&gt;"",学校マスタ!$J46&gt;=Z$3,学校マスタ!$J46&lt;Z$3+7),AND(学校マスタ!$L46&lt;&gt;"",学校マスタ!$L46&gt;=Z$3,学校マスタ!$L46&lt;Z$3+7)),"◆",IF(AND(学校マスタ!$O46&lt;&gt;"",学校マスタ!$P46&lt;&gt;"",学校マスタ!$O46&lt;Z$3+7,学校マスタ!$P46&gt;=Z$3),"█",IF(AND(学校マスタ!$R46&lt;&gt;"",学校マスタ!$U46&lt;&gt;"",学校マスタ!$R46&lt;Z$3+7,学校マスタ!$U46&gt;=Z$3),"▒","")))))</f>
        <v/>
      </c>
      <c r="AA48" s="26">
        <f>IF(学校マスタ!$A46="","",IF(AND(学校マスタ!$U46&lt;&gt;"",学校マスタ!$U46&gt;=AA$3,学校マスタ!$U46&lt;AA$3+7),"◎",IF(OR(AND(学校マスタ!$H46&lt;&gt;"",学校マスタ!$H46&gt;=AA$3,学校マスタ!$H46&lt;AA$3+7),AND(学校マスタ!$J46&lt;&gt;"",学校マスタ!$J46&gt;=AA$3,学校マスタ!$J46&lt;AA$3+7),AND(学校マスタ!$L46&lt;&gt;"",学校マスタ!$L46&gt;=AA$3,学校マスタ!$L46&lt;AA$3+7)),"◆",IF(AND(学校マスタ!$O46&lt;&gt;"",学校マスタ!$P46&lt;&gt;"",学校マスタ!$O46&lt;AA$3+7,学校マスタ!$P46&gt;=AA$3),"█",IF(AND(学校マスタ!$R46&lt;&gt;"",学校マスタ!$U46&lt;&gt;"",学校マスタ!$R46&lt;AA$3+7,学校マスタ!$U46&gt;=AA$3),"▒","")))))</f>
        <v/>
      </c>
      <c r="AB48" s="26">
        <f>IF(学校マスタ!$A46="","",IF(AND(学校マスタ!$U46&lt;&gt;"",学校マスタ!$U46&gt;=AB$3,学校マスタ!$U46&lt;AB$3+7),"◎",IF(OR(AND(学校マスタ!$H46&lt;&gt;"",学校マスタ!$H46&gt;=AB$3,学校マスタ!$H46&lt;AB$3+7),AND(学校マスタ!$J46&lt;&gt;"",学校マスタ!$J46&gt;=AB$3,学校マスタ!$J46&lt;AB$3+7),AND(学校マスタ!$L46&lt;&gt;"",学校マスタ!$L46&gt;=AB$3,学校マスタ!$L46&lt;AB$3+7)),"◆",IF(AND(学校マスタ!$O46&lt;&gt;"",学校マスタ!$P46&lt;&gt;"",学校マスタ!$O46&lt;AB$3+7,学校マスタ!$P46&gt;=AB$3),"█",IF(AND(学校マスタ!$R46&lt;&gt;"",学校マスタ!$U46&lt;&gt;"",学校マスタ!$R46&lt;AB$3+7,学校マスタ!$U46&gt;=AB$3),"▒","")))))</f>
        <v/>
      </c>
    </row>
    <row r="49">
      <c r="A49" s="19">
        <f>IF(学校マスタ!$A47="","",学校マスタ!$A47)</f>
        <v/>
      </c>
      <c r="B49" s="19">
        <f>IF(学校マスタ!$A47="","",学校マスタ!$C47)</f>
        <v/>
      </c>
      <c r="C49" s="19">
        <f>IF(学校マスタ!$A47="","",学校マスタ!$X47)</f>
        <v/>
      </c>
      <c r="D49" s="25">
        <f>IF(学校マスタ!$A47="","",学校マスタ!$R47)</f>
        <v/>
      </c>
      <c r="E49" s="26">
        <f>IF(学校マスタ!$A47="","",IF(AND(学校マスタ!$U47&lt;&gt;"",学校マスタ!$U47&gt;=E$3,学校マスタ!$U47&lt;E$3+7),"◎",IF(OR(AND(学校マスタ!$H47&lt;&gt;"",学校マスタ!$H47&gt;=E$3,学校マスタ!$H47&lt;E$3+7),AND(学校マスタ!$J47&lt;&gt;"",学校マスタ!$J47&gt;=E$3,学校マスタ!$J47&lt;E$3+7),AND(学校マスタ!$L47&lt;&gt;"",学校マスタ!$L47&gt;=E$3,学校マスタ!$L47&lt;E$3+7)),"◆",IF(AND(学校マスタ!$O47&lt;&gt;"",学校マスタ!$P47&lt;&gt;"",学校マスタ!$O47&lt;E$3+7,学校マスタ!$P47&gt;=E$3),"█",IF(AND(学校マスタ!$R47&lt;&gt;"",学校マスタ!$U47&lt;&gt;"",学校マスタ!$R47&lt;E$3+7,学校マスタ!$U47&gt;=E$3),"▒","")))))</f>
        <v/>
      </c>
      <c r="F49" s="26">
        <f>IF(学校マスタ!$A47="","",IF(AND(学校マスタ!$U47&lt;&gt;"",学校マスタ!$U47&gt;=F$3,学校マスタ!$U47&lt;F$3+7),"◎",IF(OR(AND(学校マスタ!$H47&lt;&gt;"",学校マスタ!$H47&gt;=F$3,学校マスタ!$H47&lt;F$3+7),AND(学校マスタ!$J47&lt;&gt;"",学校マスタ!$J47&gt;=F$3,学校マスタ!$J47&lt;F$3+7),AND(学校マスタ!$L47&lt;&gt;"",学校マスタ!$L47&gt;=F$3,学校マスタ!$L47&lt;F$3+7)),"◆",IF(AND(学校マスタ!$O47&lt;&gt;"",学校マスタ!$P47&lt;&gt;"",学校マスタ!$O47&lt;F$3+7,学校マスタ!$P47&gt;=F$3),"█",IF(AND(学校マスタ!$R47&lt;&gt;"",学校マスタ!$U47&lt;&gt;"",学校マスタ!$R47&lt;F$3+7,学校マスタ!$U47&gt;=F$3),"▒","")))))</f>
        <v/>
      </c>
      <c r="G49" s="26">
        <f>IF(学校マスタ!$A47="","",IF(AND(学校マスタ!$U47&lt;&gt;"",学校マスタ!$U47&gt;=G$3,学校マスタ!$U47&lt;G$3+7),"◎",IF(OR(AND(学校マスタ!$H47&lt;&gt;"",学校マスタ!$H47&gt;=G$3,学校マスタ!$H47&lt;G$3+7),AND(学校マスタ!$J47&lt;&gt;"",学校マスタ!$J47&gt;=G$3,学校マスタ!$J47&lt;G$3+7),AND(学校マスタ!$L47&lt;&gt;"",学校マスタ!$L47&gt;=G$3,学校マスタ!$L47&lt;G$3+7)),"◆",IF(AND(学校マスタ!$O47&lt;&gt;"",学校マスタ!$P47&lt;&gt;"",学校マスタ!$O47&lt;G$3+7,学校マスタ!$P47&gt;=G$3),"█",IF(AND(学校マスタ!$R47&lt;&gt;"",学校マスタ!$U47&lt;&gt;"",学校マスタ!$R47&lt;G$3+7,学校マスタ!$U47&gt;=G$3),"▒","")))))</f>
        <v/>
      </c>
      <c r="H49" s="26">
        <f>IF(学校マスタ!$A47="","",IF(AND(学校マスタ!$U47&lt;&gt;"",学校マスタ!$U47&gt;=H$3,学校マスタ!$U47&lt;H$3+7),"◎",IF(OR(AND(学校マスタ!$H47&lt;&gt;"",学校マスタ!$H47&gt;=H$3,学校マスタ!$H47&lt;H$3+7),AND(学校マスタ!$J47&lt;&gt;"",学校マスタ!$J47&gt;=H$3,学校マスタ!$J47&lt;H$3+7),AND(学校マスタ!$L47&lt;&gt;"",学校マスタ!$L47&gt;=H$3,学校マスタ!$L47&lt;H$3+7)),"◆",IF(AND(学校マスタ!$O47&lt;&gt;"",学校マスタ!$P47&lt;&gt;"",学校マスタ!$O47&lt;H$3+7,学校マスタ!$P47&gt;=H$3),"█",IF(AND(学校マスタ!$R47&lt;&gt;"",学校マスタ!$U47&lt;&gt;"",学校マスタ!$R47&lt;H$3+7,学校マスタ!$U47&gt;=H$3),"▒","")))))</f>
        <v/>
      </c>
      <c r="I49" s="26">
        <f>IF(学校マスタ!$A47="","",IF(AND(学校マスタ!$U47&lt;&gt;"",学校マスタ!$U47&gt;=I$3,学校マスタ!$U47&lt;I$3+7),"◎",IF(OR(AND(学校マスタ!$H47&lt;&gt;"",学校マスタ!$H47&gt;=I$3,学校マスタ!$H47&lt;I$3+7),AND(学校マスタ!$J47&lt;&gt;"",学校マスタ!$J47&gt;=I$3,学校マスタ!$J47&lt;I$3+7),AND(学校マスタ!$L47&lt;&gt;"",学校マスタ!$L47&gt;=I$3,学校マスタ!$L47&lt;I$3+7)),"◆",IF(AND(学校マスタ!$O47&lt;&gt;"",学校マスタ!$P47&lt;&gt;"",学校マスタ!$O47&lt;I$3+7,学校マスタ!$P47&gt;=I$3),"█",IF(AND(学校マスタ!$R47&lt;&gt;"",学校マスタ!$U47&lt;&gt;"",学校マスタ!$R47&lt;I$3+7,学校マスタ!$U47&gt;=I$3),"▒","")))))</f>
        <v/>
      </c>
      <c r="J49" s="26">
        <f>IF(学校マスタ!$A47="","",IF(AND(学校マスタ!$U47&lt;&gt;"",学校マスタ!$U47&gt;=J$3,学校マスタ!$U47&lt;J$3+7),"◎",IF(OR(AND(学校マスタ!$H47&lt;&gt;"",学校マスタ!$H47&gt;=J$3,学校マスタ!$H47&lt;J$3+7),AND(学校マスタ!$J47&lt;&gt;"",学校マスタ!$J47&gt;=J$3,学校マスタ!$J47&lt;J$3+7),AND(学校マスタ!$L47&lt;&gt;"",学校マスタ!$L47&gt;=J$3,学校マスタ!$L47&lt;J$3+7)),"◆",IF(AND(学校マスタ!$O47&lt;&gt;"",学校マスタ!$P47&lt;&gt;"",学校マスタ!$O47&lt;J$3+7,学校マスタ!$P47&gt;=J$3),"█",IF(AND(学校マスタ!$R47&lt;&gt;"",学校マスタ!$U47&lt;&gt;"",学校マスタ!$R47&lt;J$3+7,学校マスタ!$U47&gt;=J$3),"▒","")))))</f>
        <v/>
      </c>
      <c r="K49" s="26">
        <f>IF(学校マスタ!$A47="","",IF(AND(学校マスタ!$U47&lt;&gt;"",学校マスタ!$U47&gt;=K$3,学校マスタ!$U47&lt;K$3+7),"◎",IF(OR(AND(学校マスタ!$H47&lt;&gt;"",学校マスタ!$H47&gt;=K$3,学校マスタ!$H47&lt;K$3+7),AND(学校マスタ!$J47&lt;&gt;"",学校マスタ!$J47&gt;=K$3,学校マスタ!$J47&lt;K$3+7),AND(学校マスタ!$L47&lt;&gt;"",学校マスタ!$L47&gt;=K$3,学校マスタ!$L47&lt;K$3+7)),"◆",IF(AND(学校マスタ!$O47&lt;&gt;"",学校マスタ!$P47&lt;&gt;"",学校マスタ!$O47&lt;K$3+7,学校マスタ!$P47&gt;=K$3),"█",IF(AND(学校マスタ!$R47&lt;&gt;"",学校マスタ!$U47&lt;&gt;"",学校マスタ!$R47&lt;K$3+7,学校マスタ!$U47&gt;=K$3),"▒","")))))</f>
        <v/>
      </c>
      <c r="L49" s="26">
        <f>IF(学校マスタ!$A47="","",IF(AND(学校マスタ!$U47&lt;&gt;"",学校マスタ!$U47&gt;=L$3,学校マスタ!$U47&lt;L$3+7),"◎",IF(OR(AND(学校マスタ!$H47&lt;&gt;"",学校マスタ!$H47&gt;=L$3,学校マスタ!$H47&lt;L$3+7),AND(学校マスタ!$J47&lt;&gt;"",学校マスタ!$J47&gt;=L$3,学校マスタ!$J47&lt;L$3+7),AND(学校マスタ!$L47&lt;&gt;"",学校マスタ!$L47&gt;=L$3,学校マスタ!$L47&lt;L$3+7)),"◆",IF(AND(学校マスタ!$O47&lt;&gt;"",学校マスタ!$P47&lt;&gt;"",学校マスタ!$O47&lt;L$3+7,学校マスタ!$P47&gt;=L$3),"█",IF(AND(学校マスタ!$R47&lt;&gt;"",学校マスタ!$U47&lt;&gt;"",学校マスタ!$R47&lt;L$3+7,学校マスタ!$U47&gt;=L$3),"▒","")))))</f>
        <v/>
      </c>
      <c r="M49" s="26">
        <f>IF(学校マスタ!$A47="","",IF(AND(学校マスタ!$U47&lt;&gt;"",学校マスタ!$U47&gt;=M$3,学校マスタ!$U47&lt;M$3+7),"◎",IF(OR(AND(学校マスタ!$H47&lt;&gt;"",学校マスタ!$H47&gt;=M$3,学校マスタ!$H47&lt;M$3+7),AND(学校マスタ!$J47&lt;&gt;"",学校マスタ!$J47&gt;=M$3,学校マスタ!$J47&lt;M$3+7),AND(学校マスタ!$L47&lt;&gt;"",学校マスタ!$L47&gt;=M$3,学校マスタ!$L47&lt;M$3+7)),"◆",IF(AND(学校マスタ!$O47&lt;&gt;"",学校マスタ!$P47&lt;&gt;"",学校マスタ!$O47&lt;M$3+7,学校マスタ!$P47&gt;=M$3),"█",IF(AND(学校マスタ!$R47&lt;&gt;"",学校マスタ!$U47&lt;&gt;"",学校マスタ!$R47&lt;M$3+7,学校マスタ!$U47&gt;=M$3),"▒","")))))</f>
        <v/>
      </c>
      <c r="N49" s="26">
        <f>IF(学校マスタ!$A47="","",IF(AND(学校マスタ!$U47&lt;&gt;"",学校マスタ!$U47&gt;=N$3,学校マスタ!$U47&lt;N$3+7),"◎",IF(OR(AND(学校マスタ!$H47&lt;&gt;"",学校マスタ!$H47&gt;=N$3,学校マスタ!$H47&lt;N$3+7),AND(学校マスタ!$J47&lt;&gt;"",学校マスタ!$J47&gt;=N$3,学校マスタ!$J47&lt;N$3+7),AND(学校マスタ!$L47&lt;&gt;"",学校マスタ!$L47&gt;=N$3,学校マスタ!$L47&lt;N$3+7)),"◆",IF(AND(学校マスタ!$O47&lt;&gt;"",学校マスタ!$P47&lt;&gt;"",学校マスタ!$O47&lt;N$3+7,学校マスタ!$P47&gt;=N$3),"█",IF(AND(学校マスタ!$R47&lt;&gt;"",学校マスタ!$U47&lt;&gt;"",学校マスタ!$R47&lt;N$3+7,学校マスタ!$U47&gt;=N$3),"▒","")))))</f>
        <v/>
      </c>
      <c r="O49" s="26">
        <f>IF(学校マスタ!$A47="","",IF(AND(学校マスタ!$U47&lt;&gt;"",学校マスタ!$U47&gt;=O$3,学校マスタ!$U47&lt;O$3+7),"◎",IF(OR(AND(学校マスタ!$H47&lt;&gt;"",学校マスタ!$H47&gt;=O$3,学校マスタ!$H47&lt;O$3+7),AND(学校マスタ!$J47&lt;&gt;"",学校マスタ!$J47&gt;=O$3,学校マスタ!$J47&lt;O$3+7),AND(学校マスタ!$L47&lt;&gt;"",学校マスタ!$L47&gt;=O$3,学校マスタ!$L47&lt;O$3+7)),"◆",IF(AND(学校マスタ!$O47&lt;&gt;"",学校マスタ!$P47&lt;&gt;"",学校マスタ!$O47&lt;O$3+7,学校マスタ!$P47&gt;=O$3),"█",IF(AND(学校マスタ!$R47&lt;&gt;"",学校マスタ!$U47&lt;&gt;"",学校マスタ!$R47&lt;O$3+7,学校マスタ!$U47&gt;=O$3),"▒","")))))</f>
        <v/>
      </c>
      <c r="P49" s="26">
        <f>IF(学校マスタ!$A47="","",IF(AND(学校マスタ!$U47&lt;&gt;"",学校マスタ!$U47&gt;=P$3,学校マスタ!$U47&lt;P$3+7),"◎",IF(OR(AND(学校マスタ!$H47&lt;&gt;"",学校マスタ!$H47&gt;=P$3,学校マスタ!$H47&lt;P$3+7),AND(学校マスタ!$J47&lt;&gt;"",学校マスタ!$J47&gt;=P$3,学校マスタ!$J47&lt;P$3+7),AND(学校マスタ!$L47&lt;&gt;"",学校マスタ!$L47&gt;=P$3,学校マスタ!$L47&lt;P$3+7)),"◆",IF(AND(学校マスタ!$O47&lt;&gt;"",学校マスタ!$P47&lt;&gt;"",学校マスタ!$O47&lt;P$3+7,学校マスタ!$P47&gt;=P$3),"█",IF(AND(学校マスタ!$R47&lt;&gt;"",学校マスタ!$U47&lt;&gt;"",学校マスタ!$R47&lt;P$3+7,学校マスタ!$U47&gt;=P$3),"▒","")))))</f>
        <v/>
      </c>
      <c r="Q49" s="26">
        <f>IF(学校マスタ!$A47="","",IF(AND(学校マスタ!$U47&lt;&gt;"",学校マスタ!$U47&gt;=Q$3,学校マスタ!$U47&lt;Q$3+7),"◎",IF(OR(AND(学校マスタ!$H47&lt;&gt;"",学校マスタ!$H47&gt;=Q$3,学校マスタ!$H47&lt;Q$3+7),AND(学校マスタ!$J47&lt;&gt;"",学校マスタ!$J47&gt;=Q$3,学校マスタ!$J47&lt;Q$3+7),AND(学校マスタ!$L47&lt;&gt;"",学校マスタ!$L47&gt;=Q$3,学校マスタ!$L47&lt;Q$3+7)),"◆",IF(AND(学校マスタ!$O47&lt;&gt;"",学校マスタ!$P47&lt;&gt;"",学校マスタ!$O47&lt;Q$3+7,学校マスタ!$P47&gt;=Q$3),"█",IF(AND(学校マスタ!$R47&lt;&gt;"",学校マスタ!$U47&lt;&gt;"",学校マスタ!$R47&lt;Q$3+7,学校マスタ!$U47&gt;=Q$3),"▒","")))))</f>
        <v/>
      </c>
      <c r="R49" s="26">
        <f>IF(学校マスタ!$A47="","",IF(AND(学校マスタ!$U47&lt;&gt;"",学校マスタ!$U47&gt;=R$3,学校マスタ!$U47&lt;R$3+7),"◎",IF(OR(AND(学校マスタ!$H47&lt;&gt;"",学校マスタ!$H47&gt;=R$3,学校マスタ!$H47&lt;R$3+7),AND(学校マスタ!$J47&lt;&gt;"",学校マスタ!$J47&gt;=R$3,学校マスタ!$J47&lt;R$3+7),AND(学校マスタ!$L47&lt;&gt;"",学校マスタ!$L47&gt;=R$3,学校マスタ!$L47&lt;R$3+7)),"◆",IF(AND(学校マスタ!$O47&lt;&gt;"",学校マスタ!$P47&lt;&gt;"",学校マスタ!$O47&lt;R$3+7,学校マスタ!$P47&gt;=R$3),"█",IF(AND(学校マスタ!$R47&lt;&gt;"",学校マスタ!$U47&lt;&gt;"",学校マスタ!$R47&lt;R$3+7,学校マスタ!$U47&gt;=R$3),"▒","")))))</f>
        <v/>
      </c>
      <c r="S49" s="26">
        <f>IF(学校マスタ!$A47="","",IF(AND(学校マスタ!$U47&lt;&gt;"",学校マスタ!$U47&gt;=S$3,学校マスタ!$U47&lt;S$3+7),"◎",IF(OR(AND(学校マスタ!$H47&lt;&gt;"",学校マスタ!$H47&gt;=S$3,学校マスタ!$H47&lt;S$3+7),AND(学校マスタ!$J47&lt;&gt;"",学校マスタ!$J47&gt;=S$3,学校マスタ!$J47&lt;S$3+7),AND(学校マスタ!$L47&lt;&gt;"",学校マスタ!$L47&gt;=S$3,学校マスタ!$L47&lt;S$3+7)),"◆",IF(AND(学校マスタ!$O47&lt;&gt;"",学校マスタ!$P47&lt;&gt;"",学校マスタ!$O47&lt;S$3+7,学校マスタ!$P47&gt;=S$3),"█",IF(AND(学校マスタ!$R47&lt;&gt;"",学校マスタ!$U47&lt;&gt;"",学校マスタ!$R47&lt;S$3+7,学校マスタ!$U47&gt;=S$3),"▒","")))))</f>
        <v/>
      </c>
      <c r="T49" s="26">
        <f>IF(学校マスタ!$A47="","",IF(AND(学校マスタ!$U47&lt;&gt;"",学校マスタ!$U47&gt;=T$3,学校マスタ!$U47&lt;T$3+7),"◎",IF(OR(AND(学校マスタ!$H47&lt;&gt;"",学校マスタ!$H47&gt;=T$3,学校マスタ!$H47&lt;T$3+7),AND(学校マスタ!$J47&lt;&gt;"",学校マスタ!$J47&gt;=T$3,学校マスタ!$J47&lt;T$3+7),AND(学校マスタ!$L47&lt;&gt;"",学校マスタ!$L47&gt;=T$3,学校マスタ!$L47&lt;T$3+7)),"◆",IF(AND(学校マスタ!$O47&lt;&gt;"",学校マスタ!$P47&lt;&gt;"",学校マスタ!$O47&lt;T$3+7,学校マスタ!$P47&gt;=T$3),"█",IF(AND(学校マスタ!$R47&lt;&gt;"",学校マスタ!$U47&lt;&gt;"",学校マスタ!$R47&lt;T$3+7,学校マスタ!$U47&gt;=T$3),"▒","")))))</f>
        <v/>
      </c>
      <c r="U49" s="26">
        <f>IF(学校マスタ!$A47="","",IF(AND(学校マスタ!$U47&lt;&gt;"",学校マスタ!$U47&gt;=U$3,学校マスタ!$U47&lt;U$3+7),"◎",IF(OR(AND(学校マスタ!$H47&lt;&gt;"",学校マスタ!$H47&gt;=U$3,学校マスタ!$H47&lt;U$3+7),AND(学校マスタ!$J47&lt;&gt;"",学校マスタ!$J47&gt;=U$3,学校マスタ!$J47&lt;U$3+7),AND(学校マスタ!$L47&lt;&gt;"",学校マスタ!$L47&gt;=U$3,学校マスタ!$L47&lt;U$3+7)),"◆",IF(AND(学校マスタ!$O47&lt;&gt;"",学校マスタ!$P47&lt;&gt;"",学校マスタ!$O47&lt;U$3+7,学校マスタ!$P47&gt;=U$3),"█",IF(AND(学校マスタ!$R47&lt;&gt;"",学校マスタ!$U47&lt;&gt;"",学校マスタ!$R47&lt;U$3+7,学校マスタ!$U47&gt;=U$3),"▒","")))))</f>
        <v/>
      </c>
      <c r="V49" s="26">
        <f>IF(学校マスタ!$A47="","",IF(AND(学校マスタ!$U47&lt;&gt;"",学校マスタ!$U47&gt;=V$3,学校マスタ!$U47&lt;V$3+7),"◎",IF(OR(AND(学校マスタ!$H47&lt;&gt;"",学校マスタ!$H47&gt;=V$3,学校マスタ!$H47&lt;V$3+7),AND(学校マスタ!$J47&lt;&gt;"",学校マスタ!$J47&gt;=V$3,学校マスタ!$J47&lt;V$3+7),AND(学校マスタ!$L47&lt;&gt;"",学校マスタ!$L47&gt;=V$3,学校マスタ!$L47&lt;V$3+7)),"◆",IF(AND(学校マスタ!$O47&lt;&gt;"",学校マスタ!$P47&lt;&gt;"",学校マスタ!$O47&lt;V$3+7,学校マスタ!$P47&gt;=V$3),"█",IF(AND(学校マスタ!$R47&lt;&gt;"",学校マスタ!$U47&lt;&gt;"",学校マスタ!$R47&lt;V$3+7,学校マスタ!$U47&gt;=V$3),"▒","")))))</f>
        <v/>
      </c>
      <c r="W49" s="26">
        <f>IF(学校マスタ!$A47="","",IF(AND(学校マスタ!$U47&lt;&gt;"",学校マスタ!$U47&gt;=W$3,学校マスタ!$U47&lt;W$3+7),"◎",IF(OR(AND(学校マスタ!$H47&lt;&gt;"",学校マスタ!$H47&gt;=W$3,学校マスタ!$H47&lt;W$3+7),AND(学校マスタ!$J47&lt;&gt;"",学校マスタ!$J47&gt;=W$3,学校マスタ!$J47&lt;W$3+7),AND(学校マスタ!$L47&lt;&gt;"",学校マスタ!$L47&gt;=W$3,学校マスタ!$L47&lt;W$3+7)),"◆",IF(AND(学校マスタ!$O47&lt;&gt;"",学校マスタ!$P47&lt;&gt;"",学校マスタ!$O47&lt;W$3+7,学校マスタ!$P47&gt;=W$3),"█",IF(AND(学校マスタ!$R47&lt;&gt;"",学校マスタ!$U47&lt;&gt;"",学校マスタ!$R47&lt;W$3+7,学校マスタ!$U47&gt;=W$3),"▒","")))))</f>
        <v/>
      </c>
      <c r="X49" s="26">
        <f>IF(学校マスタ!$A47="","",IF(AND(学校マスタ!$U47&lt;&gt;"",学校マスタ!$U47&gt;=X$3,学校マスタ!$U47&lt;X$3+7),"◎",IF(OR(AND(学校マスタ!$H47&lt;&gt;"",学校マスタ!$H47&gt;=X$3,学校マスタ!$H47&lt;X$3+7),AND(学校マスタ!$J47&lt;&gt;"",学校マスタ!$J47&gt;=X$3,学校マスタ!$J47&lt;X$3+7),AND(学校マスタ!$L47&lt;&gt;"",学校マスタ!$L47&gt;=X$3,学校マスタ!$L47&lt;X$3+7)),"◆",IF(AND(学校マスタ!$O47&lt;&gt;"",学校マスタ!$P47&lt;&gt;"",学校マスタ!$O47&lt;X$3+7,学校マスタ!$P47&gt;=X$3),"█",IF(AND(学校マスタ!$R47&lt;&gt;"",学校マスタ!$U47&lt;&gt;"",学校マスタ!$R47&lt;X$3+7,学校マスタ!$U47&gt;=X$3),"▒","")))))</f>
        <v/>
      </c>
      <c r="Y49" s="26">
        <f>IF(学校マスタ!$A47="","",IF(AND(学校マスタ!$U47&lt;&gt;"",学校マスタ!$U47&gt;=Y$3,学校マスタ!$U47&lt;Y$3+7),"◎",IF(OR(AND(学校マスタ!$H47&lt;&gt;"",学校マスタ!$H47&gt;=Y$3,学校マスタ!$H47&lt;Y$3+7),AND(学校マスタ!$J47&lt;&gt;"",学校マスタ!$J47&gt;=Y$3,学校マスタ!$J47&lt;Y$3+7),AND(学校マスタ!$L47&lt;&gt;"",学校マスタ!$L47&gt;=Y$3,学校マスタ!$L47&lt;Y$3+7)),"◆",IF(AND(学校マスタ!$O47&lt;&gt;"",学校マスタ!$P47&lt;&gt;"",学校マスタ!$O47&lt;Y$3+7,学校マスタ!$P47&gt;=Y$3),"█",IF(AND(学校マスタ!$R47&lt;&gt;"",学校マスタ!$U47&lt;&gt;"",学校マスタ!$R47&lt;Y$3+7,学校マスタ!$U47&gt;=Y$3),"▒","")))))</f>
        <v/>
      </c>
      <c r="Z49" s="26">
        <f>IF(学校マスタ!$A47="","",IF(AND(学校マスタ!$U47&lt;&gt;"",学校マスタ!$U47&gt;=Z$3,学校マスタ!$U47&lt;Z$3+7),"◎",IF(OR(AND(学校マスタ!$H47&lt;&gt;"",学校マスタ!$H47&gt;=Z$3,学校マスタ!$H47&lt;Z$3+7),AND(学校マスタ!$J47&lt;&gt;"",学校マスタ!$J47&gt;=Z$3,学校マスタ!$J47&lt;Z$3+7),AND(学校マスタ!$L47&lt;&gt;"",学校マスタ!$L47&gt;=Z$3,学校マスタ!$L47&lt;Z$3+7)),"◆",IF(AND(学校マスタ!$O47&lt;&gt;"",学校マスタ!$P47&lt;&gt;"",学校マスタ!$O47&lt;Z$3+7,学校マスタ!$P47&gt;=Z$3),"█",IF(AND(学校マスタ!$R47&lt;&gt;"",学校マスタ!$U47&lt;&gt;"",学校マスタ!$R47&lt;Z$3+7,学校マスタ!$U47&gt;=Z$3),"▒","")))))</f>
        <v/>
      </c>
      <c r="AA49" s="26">
        <f>IF(学校マスタ!$A47="","",IF(AND(学校マスタ!$U47&lt;&gt;"",学校マスタ!$U47&gt;=AA$3,学校マスタ!$U47&lt;AA$3+7),"◎",IF(OR(AND(学校マスタ!$H47&lt;&gt;"",学校マスタ!$H47&gt;=AA$3,学校マスタ!$H47&lt;AA$3+7),AND(学校マスタ!$J47&lt;&gt;"",学校マスタ!$J47&gt;=AA$3,学校マスタ!$J47&lt;AA$3+7),AND(学校マスタ!$L47&lt;&gt;"",学校マスタ!$L47&gt;=AA$3,学校マスタ!$L47&lt;AA$3+7)),"◆",IF(AND(学校マスタ!$O47&lt;&gt;"",学校マスタ!$P47&lt;&gt;"",学校マスタ!$O47&lt;AA$3+7,学校マスタ!$P47&gt;=AA$3),"█",IF(AND(学校マスタ!$R47&lt;&gt;"",学校マスタ!$U47&lt;&gt;"",学校マスタ!$R47&lt;AA$3+7,学校マスタ!$U47&gt;=AA$3),"▒","")))))</f>
        <v/>
      </c>
      <c r="AB49" s="26">
        <f>IF(学校マスタ!$A47="","",IF(AND(学校マスタ!$U47&lt;&gt;"",学校マスタ!$U47&gt;=AB$3,学校マスタ!$U47&lt;AB$3+7),"◎",IF(OR(AND(学校マスタ!$H47&lt;&gt;"",学校マスタ!$H47&gt;=AB$3,学校マスタ!$H47&lt;AB$3+7),AND(学校マスタ!$J47&lt;&gt;"",学校マスタ!$J47&gt;=AB$3,学校マスタ!$J47&lt;AB$3+7),AND(学校マスタ!$L47&lt;&gt;"",学校マスタ!$L47&gt;=AB$3,学校マスタ!$L47&lt;AB$3+7)),"◆",IF(AND(学校マスタ!$O47&lt;&gt;"",学校マスタ!$P47&lt;&gt;"",学校マスタ!$O47&lt;AB$3+7,学校マスタ!$P47&gt;=AB$3),"█",IF(AND(学校マスタ!$R47&lt;&gt;"",学校マスタ!$U47&lt;&gt;"",学校マスタ!$R47&lt;AB$3+7,学校マスタ!$U47&gt;=AB$3),"▒","")))))</f>
        <v/>
      </c>
    </row>
    <row r="50">
      <c r="A50" s="19">
        <f>IF(学校マスタ!$A48="","",学校マスタ!$A48)</f>
        <v/>
      </c>
      <c r="B50" s="19">
        <f>IF(学校マスタ!$A48="","",学校マスタ!$C48)</f>
        <v/>
      </c>
      <c r="C50" s="19">
        <f>IF(学校マスタ!$A48="","",学校マスタ!$X48)</f>
        <v/>
      </c>
      <c r="D50" s="25">
        <f>IF(学校マスタ!$A48="","",学校マスタ!$R48)</f>
        <v/>
      </c>
      <c r="E50" s="26">
        <f>IF(学校マスタ!$A48="","",IF(AND(学校マスタ!$U48&lt;&gt;"",学校マスタ!$U48&gt;=E$3,学校マスタ!$U48&lt;E$3+7),"◎",IF(OR(AND(学校マスタ!$H48&lt;&gt;"",学校マスタ!$H48&gt;=E$3,学校マスタ!$H48&lt;E$3+7),AND(学校マスタ!$J48&lt;&gt;"",学校マスタ!$J48&gt;=E$3,学校マスタ!$J48&lt;E$3+7),AND(学校マスタ!$L48&lt;&gt;"",学校マスタ!$L48&gt;=E$3,学校マスタ!$L48&lt;E$3+7)),"◆",IF(AND(学校マスタ!$O48&lt;&gt;"",学校マスタ!$P48&lt;&gt;"",学校マスタ!$O48&lt;E$3+7,学校マスタ!$P48&gt;=E$3),"█",IF(AND(学校マスタ!$R48&lt;&gt;"",学校マスタ!$U48&lt;&gt;"",学校マスタ!$R48&lt;E$3+7,学校マスタ!$U48&gt;=E$3),"▒","")))))</f>
        <v/>
      </c>
      <c r="F50" s="26">
        <f>IF(学校マスタ!$A48="","",IF(AND(学校マスタ!$U48&lt;&gt;"",学校マスタ!$U48&gt;=F$3,学校マスタ!$U48&lt;F$3+7),"◎",IF(OR(AND(学校マスタ!$H48&lt;&gt;"",学校マスタ!$H48&gt;=F$3,学校マスタ!$H48&lt;F$3+7),AND(学校マスタ!$J48&lt;&gt;"",学校マスタ!$J48&gt;=F$3,学校マスタ!$J48&lt;F$3+7),AND(学校マスタ!$L48&lt;&gt;"",学校マスタ!$L48&gt;=F$3,学校マスタ!$L48&lt;F$3+7)),"◆",IF(AND(学校マスタ!$O48&lt;&gt;"",学校マスタ!$P48&lt;&gt;"",学校マスタ!$O48&lt;F$3+7,学校マスタ!$P48&gt;=F$3),"█",IF(AND(学校マスタ!$R48&lt;&gt;"",学校マスタ!$U48&lt;&gt;"",学校マスタ!$R48&lt;F$3+7,学校マスタ!$U48&gt;=F$3),"▒","")))))</f>
        <v/>
      </c>
      <c r="G50" s="26">
        <f>IF(学校マスタ!$A48="","",IF(AND(学校マスタ!$U48&lt;&gt;"",学校マスタ!$U48&gt;=G$3,学校マスタ!$U48&lt;G$3+7),"◎",IF(OR(AND(学校マスタ!$H48&lt;&gt;"",学校マスタ!$H48&gt;=G$3,学校マスタ!$H48&lt;G$3+7),AND(学校マスタ!$J48&lt;&gt;"",学校マスタ!$J48&gt;=G$3,学校マスタ!$J48&lt;G$3+7),AND(学校マスタ!$L48&lt;&gt;"",学校マスタ!$L48&gt;=G$3,学校マスタ!$L48&lt;G$3+7)),"◆",IF(AND(学校マスタ!$O48&lt;&gt;"",学校マスタ!$P48&lt;&gt;"",学校マスタ!$O48&lt;G$3+7,学校マスタ!$P48&gt;=G$3),"█",IF(AND(学校マスタ!$R48&lt;&gt;"",学校マスタ!$U48&lt;&gt;"",学校マスタ!$R48&lt;G$3+7,学校マスタ!$U48&gt;=G$3),"▒","")))))</f>
        <v/>
      </c>
      <c r="H50" s="26">
        <f>IF(学校マスタ!$A48="","",IF(AND(学校マスタ!$U48&lt;&gt;"",学校マスタ!$U48&gt;=H$3,学校マスタ!$U48&lt;H$3+7),"◎",IF(OR(AND(学校マスタ!$H48&lt;&gt;"",学校マスタ!$H48&gt;=H$3,学校マスタ!$H48&lt;H$3+7),AND(学校マスタ!$J48&lt;&gt;"",学校マスタ!$J48&gt;=H$3,学校マスタ!$J48&lt;H$3+7),AND(学校マスタ!$L48&lt;&gt;"",学校マスタ!$L48&gt;=H$3,学校マスタ!$L48&lt;H$3+7)),"◆",IF(AND(学校マスタ!$O48&lt;&gt;"",学校マスタ!$P48&lt;&gt;"",学校マスタ!$O48&lt;H$3+7,学校マスタ!$P48&gt;=H$3),"█",IF(AND(学校マスタ!$R48&lt;&gt;"",学校マスタ!$U48&lt;&gt;"",学校マスタ!$R48&lt;H$3+7,学校マスタ!$U48&gt;=H$3),"▒","")))))</f>
        <v/>
      </c>
      <c r="I50" s="26">
        <f>IF(学校マスタ!$A48="","",IF(AND(学校マスタ!$U48&lt;&gt;"",学校マスタ!$U48&gt;=I$3,学校マスタ!$U48&lt;I$3+7),"◎",IF(OR(AND(学校マスタ!$H48&lt;&gt;"",学校マスタ!$H48&gt;=I$3,学校マスタ!$H48&lt;I$3+7),AND(学校マスタ!$J48&lt;&gt;"",学校マスタ!$J48&gt;=I$3,学校マスタ!$J48&lt;I$3+7),AND(学校マスタ!$L48&lt;&gt;"",学校マスタ!$L48&gt;=I$3,学校マスタ!$L48&lt;I$3+7)),"◆",IF(AND(学校マスタ!$O48&lt;&gt;"",学校マスタ!$P48&lt;&gt;"",学校マスタ!$O48&lt;I$3+7,学校マスタ!$P48&gt;=I$3),"█",IF(AND(学校マスタ!$R48&lt;&gt;"",学校マスタ!$U48&lt;&gt;"",学校マスタ!$R48&lt;I$3+7,学校マスタ!$U48&gt;=I$3),"▒","")))))</f>
        <v/>
      </c>
      <c r="J50" s="26">
        <f>IF(学校マスタ!$A48="","",IF(AND(学校マスタ!$U48&lt;&gt;"",学校マスタ!$U48&gt;=J$3,学校マスタ!$U48&lt;J$3+7),"◎",IF(OR(AND(学校マスタ!$H48&lt;&gt;"",学校マスタ!$H48&gt;=J$3,学校マスタ!$H48&lt;J$3+7),AND(学校マスタ!$J48&lt;&gt;"",学校マスタ!$J48&gt;=J$3,学校マスタ!$J48&lt;J$3+7),AND(学校マスタ!$L48&lt;&gt;"",学校マスタ!$L48&gt;=J$3,学校マスタ!$L48&lt;J$3+7)),"◆",IF(AND(学校マスタ!$O48&lt;&gt;"",学校マスタ!$P48&lt;&gt;"",学校マスタ!$O48&lt;J$3+7,学校マスタ!$P48&gt;=J$3),"█",IF(AND(学校マスタ!$R48&lt;&gt;"",学校マスタ!$U48&lt;&gt;"",学校マスタ!$R48&lt;J$3+7,学校マスタ!$U48&gt;=J$3),"▒","")))))</f>
        <v/>
      </c>
      <c r="K50" s="26">
        <f>IF(学校マスタ!$A48="","",IF(AND(学校マスタ!$U48&lt;&gt;"",学校マスタ!$U48&gt;=K$3,学校マスタ!$U48&lt;K$3+7),"◎",IF(OR(AND(学校マスタ!$H48&lt;&gt;"",学校マスタ!$H48&gt;=K$3,学校マスタ!$H48&lt;K$3+7),AND(学校マスタ!$J48&lt;&gt;"",学校マスタ!$J48&gt;=K$3,学校マスタ!$J48&lt;K$3+7),AND(学校マスタ!$L48&lt;&gt;"",学校マスタ!$L48&gt;=K$3,学校マスタ!$L48&lt;K$3+7)),"◆",IF(AND(学校マスタ!$O48&lt;&gt;"",学校マスタ!$P48&lt;&gt;"",学校マスタ!$O48&lt;K$3+7,学校マスタ!$P48&gt;=K$3),"█",IF(AND(学校マスタ!$R48&lt;&gt;"",学校マスタ!$U48&lt;&gt;"",学校マスタ!$R48&lt;K$3+7,学校マスタ!$U48&gt;=K$3),"▒","")))))</f>
        <v/>
      </c>
      <c r="L50" s="26">
        <f>IF(学校マスタ!$A48="","",IF(AND(学校マスタ!$U48&lt;&gt;"",学校マスタ!$U48&gt;=L$3,学校マスタ!$U48&lt;L$3+7),"◎",IF(OR(AND(学校マスタ!$H48&lt;&gt;"",学校マスタ!$H48&gt;=L$3,学校マスタ!$H48&lt;L$3+7),AND(学校マスタ!$J48&lt;&gt;"",学校マスタ!$J48&gt;=L$3,学校マスタ!$J48&lt;L$3+7),AND(学校マスタ!$L48&lt;&gt;"",学校マスタ!$L48&gt;=L$3,学校マスタ!$L48&lt;L$3+7)),"◆",IF(AND(学校マスタ!$O48&lt;&gt;"",学校マスタ!$P48&lt;&gt;"",学校マスタ!$O48&lt;L$3+7,学校マスタ!$P48&gt;=L$3),"█",IF(AND(学校マスタ!$R48&lt;&gt;"",学校マスタ!$U48&lt;&gt;"",学校マスタ!$R48&lt;L$3+7,学校マスタ!$U48&gt;=L$3),"▒","")))))</f>
        <v/>
      </c>
      <c r="M50" s="26">
        <f>IF(学校マスタ!$A48="","",IF(AND(学校マスタ!$U48&lt;&gt;"",学校マスタ!$U48&gt;=M$3,学校マスタ!$U48&lt;M$3+7),"◎",IF(OR(AND(学校マスタ!$H48&lt;&gt;"",学校マスタ!$H48&gt;=M$3,学校マスタ!$H48&lt;M$3+7),AND(学校マスタ!$J48&lt;&gt;"",学校マスタ!$J48&gt;=M$3,学校マスタ!$J48&lt;M$3+7),AND(学校マスタ!$L48&lt;&gt;"",学校マスタ!$L48&gt;=M$3,学校マスタ!$L48&lt;M$3+7)),"◆",IF(AND(学校マスタ!$O48&lt;&gt;"",学校マスタ!$P48&lt;&gt;"",学校マスタ!$O48&lt;M$3+7,学校マスタ!$P48&gt;=M$3),"█",IF(AND(学校マスタ!$R48&lt;&gt;"",学校マスタ!$U48&lt;&gt;"",学校マスタ!$R48&lt;M$3+7,学校マスタ!$U48&gt;=M$3),"▒","")))))</f>
        <v/>
      </c>
      <c r="N50" s="26">
        <f>IF(学校マスタ!$A48="","",IF(AND(学校マスタ!$U48&lt;&gt;"",学校マスタ!$U48&gt;=N$3,学校マスタ!$U48&lt;N$3+7),"◎",IF(OR(AND(学校マスタ!$H48&lt;&gt;"",学校マスタ!$H48&gt;=N$3,学校マスタ!$H48&lt;N$3+7),AND(学校マスタ!$J48&lt;&gt;"",学校マスタ!$J48&gt;=N$3,学校マスタ!$J48&lt;N$3+7),AND(学校マスタ!$L48&lt;&gt;"",学校マスタ!$L48&gt;=N$3,学校マスタ!$L48&lt;N$3+7)),"◆",IF(AND(学校マスタ!$O48&lt;&gt;"",学校マスタ!$P48&lt;&gt;"",学校マスタ!$O48&lt;N$3+7,学校マスタ!$P48&gt;=N$3),"█",IF(AND(学校マスタ!$R48&lt;&gt;"",学校マスタ!$U48&lt;&gt;"",学校マスタ!$R48&lt;N$3+7,学校マスタ!$U48&gt;=N$3),"▒","")))))</f>
        <v/>
      </c>
      <c r="O50" s="26">
        <f>IF(学校マスタ!$A48="","",IF(AND(学校マスタ!$U48&lt;&gt;"",学校マスタ!$U48&gt;=O$3,学校マスタ!$U48&lt;O$3+7),"◎",IF(OR(AND(学校マスタ!$H48&lt;&gt;"",学校マスタ!$H48&gt;=O$3,学校マスタ!$H48&lt;O$3+7),AND(学校マスタ!$J48&lt;&gt;"",学校マスタ!$J48&gt;=O$3,学校マスタ!$J48&lt;O$3+7),AND(学校マスタ!$L48&lt;&gt;"",学校マスタ!$L48&gt;=O$3,学校マスタ!$L48&lt;O$3+7)),"◆",IF(AND(学校マスタ!$O48&lt;&gt;"",学校マスタ!$P48&lt;&gt;"",学校マスタ!$O48&lt;O$3+7,学校マスタ!$P48&gt;=O$3),"█",IF(AND(学校マスタ!$R48&lt;&gt;"",学校マスタ!$U48&lt;&gt;"",学校マスタ!$R48&lt;O$3+7,学校マスタ!$U48&gt;=O$3),"▒","")))))</f>
        <v/>
      </c>
      <c r="P50" s="26">
        <f>IF(学校マスタ!$A48="","",IF(AND(学校マスタ!$U48&lt;&gt;"",学校マスタ!$U48&gt;=P$3,学校マスタ!$U48&lt;P$3+7),"◎",IF(OR(AND(学校マスタ!$H48&lt;&gt;"",学校マスタ!$H48&gt;=P$3,学校マスタ!$H48&lt;P$3+7),AND(学校マスタ!$J48&lt;&gt;"",学校マスタ!$J48&gt;=P$3,学校マスタ!$J48&lt;P$3+7),AND(学校マスタ!$L48&lt;&gt;"",学校マスタ!$L48&gt;=P$3,学校マスタ!$L48&lt;P$3+7)),"◆",IF(AND(学校マスタ!$O48&lt;&gt;"",学校マスタ!$P48&lt;&gt;"",学校マスタ!$O48&lt;P$3+7,学校マスタ!$P48&gt;=P$3),"█",IF(AND(学校マスタ!$R48&lt;&gt;"",学校マスタ!$U48&lt;&gt;"",学校マスタ!$R48&lt;P$3+7,学校マスタ!$U48&gt;=P$3),"▒","")))))</f>
        <v/>
      </c>
      <c r="Q50" s="26">
        <f>IF(学校マスタ!$A48="","",IF(AND(学校マスタ!$U48&lt;&gt;"",学校マスタ!$U48&gt;=Q$3,学校マスタ!$U48&lt;Q$3+7),"◎",IF(OR(AND(学校マスタ!$H48&lt;&gt;"",学校マスタ!$H48&gt;=Q$3,学校マスタ!$H48&lt;Q$3+7),AND(学校マスタ!$J48&lt;&gt;"",学校マスタ!$J48&gt;=Q$3,学校マスタ!$J48&lt;Q$3+7),AND(学校マスタ!$L48&lt;&gt;"",学校マスタ!$L48&gt;=Q$3,学校マスタ!$L48&lt;Q$3+7)),"◆",IF(AND(学校マスタ!$O48&lt;&gt;"",学校マスタ!$P48&lt;&gt;"",学校マスタ!$O48&lt;Q$3+7,学校マスタ!$P48&gt;=Q$3),"█",IF(AND(学校マスタ!$R48&lt;&gt;"",学校マスタ!$U48&lt;&gt;"",学校マスタ!$R48&lt;Q$3+7,学校マスタ!$U48&gt;=Q$3),"▒","")))))</f>
        <v/>
      </c>
      <c r="R50" s="26">
        <f>IF(学校マスタ!$A48="","",IF(AND(学校マスタ!$U48&lt;&gt;"",学校マスタ!$U48&gt;=R$3,学校マスタ!$U48&lt;R$3+7),"◎",IF(OR(AND(学校マスタ!$H48&lt;&gt;"",学校マスタ!$H48&gt;=R$3,学校マスタ!$H48&lt;R$3+7),AND(学校マスタ!$J48&lt;&gt;"",学校マスタ!$J48&gt;=R$3,学校マスタ!$J48&lt;R$3+7),AND(学校マスタ!$L48&lt;&gt;"",学校マスタ!$L48&gt;=R$3,学校マスタ!$L48&lt;R$3+7)),"◆",IF(AND(学校マスタ!$O48&lt;&gt;"",学校マスタ!$P48&lt;&gt;"",学校マスタ!$O48&lt;R$3+7,学校マスタ!$P48&gt;=R$3),"█",IF(AND(学校マスタ!$R48&lt;&gt;"",学校マスタ!$U48&lt;&gt;"",学校マスタ!$R48&lt;R$3+7,学校マスタ!$U48&gt;=R$3),"▒","")))))</f>
        <v/>
      </c>
      <c r="S50" s="26">
        <f>IF(学校マスタ!$A48="","",IF(AND(学校マスタ!$U48&lt;&gt;"",学校マスタ!$U48&gt;=S$3,学校マスタ!$U48&lt;S$3+7),"◎",IF(OR(AND(学校マスタ!$H48&lt;&gt;"",学校マスタ!$H48&gt;=S$3,学校マスタ!$H48&lt;S$3+7),AND(学校マスタ!$J48&lt;&gt;"",学校マスタ!$J48&gt;=S$3,学校マスタ!$J48&lt;S$3+7),AND(学校マスタ!$L48&lt;&gt;"",学校マスタ!$L48&gt;=S$3,学校マスタ!$L48&lt;S$3+7)),"◆",IF(AND(学校マスタ!$O48&lt;&gt;"",学校マスタ!$P48&lt;&gt;"",学校マスタ!$O48&lt;S$3+7,学校マスタ!$P48&gt;=S$3),"█",IF(AND(学校マスタ!$R48&lt;&gt;"",学校マスタ!$U48&lt;&gt;"",学校マスタ!$R48&lt;S$3+7,学校マスタ!$U48&gt;=S$3),"▒","")))))</f>
        <v/>
      </c>
      <c r="T50" s="26">
        <f>IF(学校マスタ!$A48="","",IF(AND(学校マスタ!$U48&lt;&gt;"",学校マスタ!$U48&gt;=T$3,学校マスタ!$U48&lt;T$3+7),"◎",IF(OR(AND(学校マスタ!$H48&lt;&gt;"",学校マスタ!$H48&gt;=T$3,学校マスタ!$H48&lt;T$3+7),AND(学校マスタ!$J48&lt;&gt;"",学校マスタ!$J48&gt;=T$3,学校マスタ!$J48&lt;T$3+7),AND(学校マスタ!$L48&lt;&gt;"",学校マスタ!$L48&gt;=T$3,学校マスタ!$L48&lt;T$3+7)),"◆",IF(AND(学校マスタ!$O48&lt;&gt;"",学校マスタ!$P48&lt;&gt;"",学校マスタ!$O48&lt;T$3+7,学校マスタ!$P48&gt;=T$3),"█",IF(AND(学校マスタ!$R48&lt;&gt;"",学校マスタ!$U48&lt;&gt;"",学校マスタ!$R48&lt;T$3+7,学校マスタ!$U48&gt;=T$3),"▒","")))))</f>
        <v/>
      </c>
      <c r="U50" s="26">
        <f>IF(学校マスタ!$A48="","",IF(AND(学校マスタ!$U48&lt;&gt;"",学校マスタ!$U48&gt;=U$3,学校マスタ!$U48&lt;U$3+7),"◎",IF(OR(AND(学校マスタ!$H48&lt;&gt;"",学校マスタ!$H48&gt;=U$3,学校マスタ!$H48&lt;U$3+7),AND(学校マスタ!$J48&lt;&gt;"",学校マスタ!$J48&gt;=U$3,学校マスタ!$J48&lt;U$3+7),AND(学校マスタ!$L48&lt;&gt;"",学校マスタ!$L48&gt;=U$3,学校マスタ!$L48&lt;U$3+7)),"◆",IF(AND(学校マスタ!$O48&lt;&gt;"",学校マスタ!$P48&lt;&gt;"",学校マスタ!$O48&lt;U$3+7,学校マスタ!$P48&gt;=U$3),"█",IF(AND(学校マスタ!$R48&lt;&gt;"",学校マスタ!$U48&lt;&gt;"",学校マスタ!$R48&lt;U$3+7,学校マスタ!$U48&gt;=U$3),"▒","")))))</f>
        <v/>
      </c>
      <c r="V50" s="26">
        <f>IF(学校マスタ!$A48="","",IF(AND(学校マスタ!$U48&lt;&gt;"",学校マスタ!$U48&gt;=V$3,学校マスタ!$U48&lt;V$3+7),"◎",IF(OR(AND(学校マスタ!$H48&lt;&gt;"",学校マスタ!$H48&gt;=V$3,学校マスタ!$H48&lt;V$3+7),AND(学校マスタ!$J48&lt;&gt;"",学校マスタ!$J48&gt;=V$3,学校マスタ!$J48&lt;V$3+7),AND(学校マスタ!$L48&lt;&gt;"",学校マスタ!$L48&gt;=V$3,学校マスタ!$L48&lt;V$3+7)),"◆",IF(AND(学校マスタ!$O48&lt;&gt;"",学校マスタ!$P48&lt;&gt;"",学校マスタ!$O48&lt;V$3+7,学校マスタ!$P48&gt;=V$3),"█",IF(AND(学校マスタ!$R48&lt;&gt;"",学校マスタ!$U48&lt;&gt;"",学校マスタ!$R48&lt;V$3+7,学校マスタ!$U48&gt;=V$3),"▒","")))))</f>
        <v/>
      </c>
      <c r="W50" s="26">
        <f>IF(学校マスタ!$A48="","",IF(AND(学校マスタ!$U48&lt;&gt;"",学校マスタ!$U48&gt;=W$3,学校マスタ!$U48&lt;W$3+7),"◎",IF(OR(AND(学校マスタ!$H48&lt;&gt;"",学校マスタ!$H48&gt;=W$3,学校マスタ!$H48&lt;W$3+7),AND(学校マスタ!$J48&lt;&gt;"",学校マスタ!$J48&gt;=W$3,学校マスタ!$J48&lt;W$3+7),AND(学校マスタ!$L48&lt;&gt;"",学校マスタ!$L48&gt;=W$3,学校マスタ!$L48&lt;W$3+7)),"◆",IF(AND(学校マスタ!$O48&lt;&gt;"",学校マスタ!$P48&lt;&gt;"",学校マスタ!$O48&lt;W$3+7,学校マスタ!$P48&gt;=W$3),"█",IF(AND(学校マスタ!$R48&lt;&gt;"",学校マスタ!$U48&lt;&gt;"",学校マスタ!$R48&lt;W$3+7,学校マスタ!$U48&gt;=W$3),"▒","")))))</f>
        <v/>
      </c>
      <c r="X50" s="26">
        <f>IF(学校マスタ!$A48="","",IF(AND(学校マスタ!$U48&lt;&gt;"",学校マスタ!$U48&gt;=X$3,学校マスタ!$U48&lt;X$3+7),"◎",IF(OR(AND(学校マスタ!$H48&lt;&gt;"",学校マスタ!$H48&gt;=X$3,学校マスタ!$H48&lt;X$3+7),AND(学校マスタ!$J48&lt;&gt;"",学校マスタ!$J48&gt;=X$3,学校マスタ!$J48&lt;X$3+7),AND(学校マスタ!$L48&lt;&gt;"",学校マスタ!$L48&gt;=X$3,学校マスタ!$L48&lt;X$3+7)),"◆",IF(AND(学校マスタ!$O48&lt;&gt;"",学校マスタ!$P48&lt;&gt;"",学校マスタ!$O48&lt;X$3+7,学校マスタ!$P48&gt;=X$3),"█",IF(AND(学校マスタ!$R48&lt;&gt;"",学校マスタ!$U48&lt;&gt;"",学校マスタ!$R48&lt;X$3+7,学校マスタ!$U48&gt;=X$3),"▒","")))))</f>
        <v/>
      </c>
      <c r="Y50" s="26">
        <f>IF(学校マスタ!$A48="","",IF(AND(学校マスタ!$U48&lt;&gt;"",学校マスタ!$U48&gt;=Y$3,学校マスタ!$U48&lt;Y$3+7),"◎",IF(OR(AND(学校マスタ!$H48&lt;&gt;"",学校マスタ!$H48&gt;=Y$3,学校マスタ!$H48&lt;Y$3+7),AND(学校マスタ!$J48&lt;&gt;"",学校マスタ!$J48&gt;=Y$3,学校マスタ!$J48&lt;Y$3+7),AND(学校マスタ!$L48&lt;&gt;"",学校マスタ!$L48&gt;=Y$3,学校マスタ!$L48&lt;Y$3+7)),"◆",IF(AND(学校マスタ!$O48&lt;&gt;"",学校マスタ!$P48&lt;&gt;"",学校マスタ!$O48&lt;Y$3+7,学校マスタ!$P48&gt;=Y$3),"█",IF(AND(学校マスタ!$R48&lt;&gt;"",学校マスタ!$U48&lt;&gt;"",学校マスタ!$R48&lt;Y$3+7,学校マスタ!$U48&gt;=Y$3),"▒","")))))</f>
        <v/>
      </c>
      <c r="Z50" s="26">
        <f>IF(学校マスタ!$A48="","",IF(AND(学校マスタ!$U48&lt;&gt;"",学校マスタ!$U48&gt;=Z$3,学校マスタ!$U48&lt;Z$3+7),"◎",IF(OR(AND(学校マスタ!$H48&lt;&gt;"",学校マスタ!$H48&gt;=Z$3,学校マスタ!$H48&lt;Z$3+7),AND(学校マスタ!$J48&lt;&gt;"",学校マスタ!$J48&gt;=Z$3,学校マスタ!$J48&lt;Z$3+7),AND(学校マスタ!$L48&lt;&gt;"",学校マスタ!$L48&gt;=Z$3,学校マスタ!$L48&lt;Z$3+7)),"◆",IF(AND(学校マスタ!$O48&lt;&gt;"",学校マスタ!$P48&lt;&gt;"",学校マスタ!$O48&lt;Z$3+7,学校マスタ!$P48&gt;=Z$3),"█",IF(AND(学校マスタ!$R48&lt;&gt;"",学校マスタ!$U48&lt;&gt;"",学校マスタ!$R48&lt;Z$3+7,学校マスタ!$U48&gt;=Z$3),"▒","")))))</f>
        <v/>
      </c>
      <c r="AA50" s="26">
        <f>IF(学校マスタ!$A48="","",IF(AND(学校マスタ!$U48&lt;&gt;"",学校マスタ!$U48&gt;=AA$3,学校マスタ!$U48&lt;AA$3+7),"◎",IF(OR(AND(学校マスタ!$H48&lt;&gt;"",学校マスタ!$H48&gt;=AA$3,学校マスタ!$H48&lt;AA$3+7),AND(学校マスタ!$J48&lt;&gt;"",学校マスタ!$J48&gt;=AA$3,学校マスタ!$J48&lt;AA$3+7),AND(学校マスタ!$L48&lt;&gt;"",学校マスタ!$L48&gt;=AA$3,学校マスタ!$L48&lt;AA$3+7)),"◆",IF(AND(学校マスタ!$O48&lt;&gt;"",学校マスタ!$P48&lt;&gt;"",学校マスタ!$O48&lt;AA$3+7,学校マスタ!$P48&gt;=AA$3),"█",IF(AND(学校マスタ!$R48&lt;&gt;"",学校マスタ!$U48&lt;&gt;"",学校マスタ!$R48&lt;AA$3+7,学校マスタ!$U48&gt;=AA$3),"▒","")))))</f>
        <v/>
      </c>
      <c r="AB50" s="26">
        <f>IF(学校マスタ!$A48="","",IF(AND(学校マスタ!$U48&lt;&gt;"",学校マスタ!$U48&gt;=AB$3,学校マスタ!$U48&lt;AB$3+7),"◎",IF(OR(AND(学校マスタ!$H48&lt;&gt;"",学校マスタ!$H48&gt;=AB$3,学校マスタ!$H48&lt;AB$3+7),AND(学校マスタ!$J48&lt;&gt;"",学校マスタ!$J48&gt;=AB$3,学校マスタ!$J48&lt;AB$3+7),AND(学校マスタ!$L48&lt;&gt;"",学校マスタ!$L48&gt;=AB$3,学校マスタ!$L48&lt;AB$3+7)),"◆",IF(AND(学校マスタ!$O48&lt;&gt;"",学校マスタ!$P48&lt;&gt;"",学校マスタ!$O48&lt;AB$3+7,学校マスタ!$P48&gt;=AB$3),"█",IF(AND(学校マスタ!$R48&lt;&gt;"",学校マスタ!$U48&lt;&gt;"",学校マスタ!$R48&lt;AB$3+7,学校マスタ!$U48&gt;=AB$3),"▒","")))))</f>
        <v/>
      </c>
    </row>
    <row r="51">
      <c r="A51" s="19">
        <f>IF(学校マスタ!$A49="","",学校マスタ!$A49)</f>
        <v/>
      </c>
      <c r="B51" s="19">
        <f>IF(学校マスタ!$A49="","",学校マスタ!$C49)</f>
        <v/>
      </c>
      <c r="C51" s="19">
        <f>IF(学校マスタ!$A49="","",学校マスタ!$X49)</f>
        <v/>
      </c>
      <c r="D51" s="25">
        <f>IF(学校マスタ!$A49="","",学校マスタ!$R49)</f>
        <v/>
      </c>
      <c r="E51" s="26">
        <f>IF(学校マスタ!$A49="","",IF(AND(学校マスタ!$U49&lt;&gt;"",学校マスタ!$U49&gt;=E$3,学校マスタ!$U49&lt;E$3+7),"◎",IF(OR(AND(学校マスタ!$H49&lt;&gt;"",学校マスタ!$H49&gt;=E$3,学校マスタ!$H49&lt;E$3+7),AND(学校マスタ!$J49&lt;&gt;"",学校マスタ!$J49&gt;=E$3,学校マスタ!$J49&lt;E$3+7),AND(学校マスタ!$L49&lt;&gt;"",学校マスタ!$L49&gt;=E$3,学校マスタ!$L49&lt;E$3+7)),"◆",IF(AND(学校マスタ!$O49&lt;&gt;"",学校マスタ!$P49&lt;&gt;"",学校マスタ!$O49&lt;E$3+7,学校マスタ!$P49&gt;=E$3),"█",IF(AND(学校マスタ!$R49&lt;&gt;"",学校マスタ!$U49&lt;&gt;"",学校マスタ!$R49&lt;E$3+7,学校マスタ!$U49&gt;=E$3),"▒","")))))</f>
        <v/>
      </c>
      <c r="F51" s="26">
        <f>IF(学校マスタ!$A49="","",IF(AND(学校マスタ!$U49&lt;&gt;"",学校マスタ!$U49&gt;=F$3,学校マスタ!$U49&lt;F$3+7),"◎",IF(OR(AND(学校マスタ!$H49&lt;&gt;"",学校マスタ!$H49&gt;=F$3,学校マスタ!$H49&lt;F$3+7),AND(学校マスタ!$J49&lt;&gt;"",学校マスタ!$J49&gt;=F$3,学校マスタ!$J49&lt;F$3+7),AND(学校マスタ!$L49&lt;&gt;"",学校マスタ!$L49&gt;=F$3,学校マスタ!$L49&lt;F$3+7)),"◆",IF(AND(学校マスタ!$O49&lt;&gt;"",学校マスタ!$P49&lt;&gt;"",学校マスタ!$O49&lt;F$3+7,学校マスタ!$P49&gt;=F$3),"█",IF(AND(学校マスタ!$R49&lt;&gt;"",学校マスタ!$U49&lt;&gt;"",学校マスタ!$R49&lt;F$3+7,学校マスタ!$U49&gt;=F$3),"▒","")))))</f>
        <v/>
      </c>
      <c r="G51" s="26">
        <f>IF(学校マスタ!$A49="","",IF(AND(学校マスタ!$U49&lt;&gt;"",学校マスタ!$U49&gt;=G$3,学校マスタ!$U49&lt;G$3+7),"◎",IF(OR(AND(学校マスタ!$H49&lt;&gt;"",学校マスタ!$H49&gt;=G$3,学校マスタ!$H49&lt;G$3+7),AND(学校マスタ!$J49&lt;&gt;"",学校マスタ!$J49&gt;=G$3,学校マスタ!$J49&lt;G$3+7),AND(学校マスタ!$L49&lt;&gt;"",学校マスタ!$L49&gt;=G$3,学校マスタ!$L49&lt;G$3+7)),"◆",IF(AND(学校マスタ!$O49&lt;&gt;"",学校マスタ!$P49&lt;&gt;"",学校マスタ!$O49&lt;G$3+7,学校マスタ!$P49&gt;=G$3),"█",IF(AND(学校マスタ!$R49&lt;&gt;"",学校マスタ!$U49&lt;&gt;"",学校マスタ!$R49&lt;G$3+7,学校マスタ!$U49&gt;=G$3),"▒","")))))</f>
        <v/>
      </c>
      <c r="H51" s="26">
        <f>IF(学校マスタ!$A49="","",IF(AND(学校マスタ!$U49&lt;&gt;"",学校マスタ!$U49&gt;=H$3,学校マスタ!$U49&lt;H$3+7),"◎",IF(OR(AND(学校マスタ!$H49&lt;&gt;"",学校マスタ!$H49&gt;=H$3,学校マスタ!$H49&lt;H$3+7),AND(学校マスタ!$J49&lt;&gt;"",学校マスタ!$J49&gt;=H$3,学校マスタ!$J49&lt;H$3+7),AND(学校マスタ!$L49&lt;&gt;"",学校マスタ!$L49&gt;=H$3,学校マスタ!$L49&lt;H$3+7)),"◆",IF(AND(学校マスタ!$O49&lt;&gt;"",学校マスタ!$P49&lt;&gt;"",学校マスタ!$O49&lt;H$3+7,学校マスタ!$P49&gt;=H$3),"█",IF(AND(学校マスタ!$R49&lt;&gt;"",学校マスタ!$U49&lt;&gt;"",学校マスタ!$R49&lt;H$3+7,学校マスタ!$U49&gt;=H$3),"▒","")))))</f>
        <v/>
      </c>
      <c r="I51" s="26">
        <f>IF(学校マスタ!$A49="","",IF(AND(学校マスタ!$U49&lt;&gt;"",学校マスタ!$U49&gt;=I$3,学校マスタ!$U49&lt;I$3+7),"◎",IF(OR(AND(学校マスタ!$H49&lt;&gt;"",学校マスタ!$H49&gt;=I$3,学校マスタ!$H49&lt;I$3+7),AND(学校マスタ!$J49&lt;&gt;"",学校マスタ!$J49&gt;=I$3,学校マスタ!$J49&lt;I$3+7),AND(学校マスタ!$L49&lt;&gt;"",学校マスタ!$L49&gt;=I$3,学校マスタ!$L49&lt;I$3+7)),"◆",IF(AND(学校マスタ!$O49&lt;&gt;"",学校マスタ!$P49&lt;&gt;"",学校マスタ!$O49&lt;I$3+7,学校マスタ!$P49&gt;=I$3),"█",IF(AND(学校マスタ!$R49&lt;&gt;"",学校マスタ!$U49&lt;&gt;"",学校マスタ!$R49&lt;I$3+7,学校マスタ!$U49&gt;=I$3),"▒","")))))</f>
        <v/>
      </c>
      <c r="J51" s="26">
        <f>IF(学校マスタ!$A49="","",IF(AND(学校マスタ!$U49&lt;&gt;"",学校マスタ!$U49&gt;=J$3,学校マスタ!$U49&lt;J$3+7),"◎",IF(OR(AND(学校マスタ!$H49&lt;&gt;"",学校マスタ!$H49&gt;=J$3,学校マスタ!$H49&lt;J$3+7),AND(学校マスタ!$J49&lt;&gt;"",学校マスタ!$J49&gt;=J$3,学校マスタ!$J49&lt;J$3+7),AND(学校マスタ!$L49&lt;&gt;"",学校マスタ!$L49&gt;=J$3,学校マスタ!$L49&lt;J$3+7)),"◆",IF(AND(学校マスタ!$O49&lt;&gt;"",学校マスタ!$P49&lt;&gt;"",学校マスタ!$O49&lt;J$3+7,学校マスタ!$P49&gt;=J$3),"█",IF(AND(学校マスタ!$R49&lt;&gt;"",学校マスタ!$U49&lt;&gt;"",学校マスタ!$R49&lt;J$3+7,学校マスタ!$U49&gt;=J$3),"▒","")))))</f>
        <v/>
      </c>
      <c r="K51" s="26">
        <f>IF(学校マスタ!$A49="","",IF(AND(学校マスタ!$U49&lt;&gt;"",学校マスタ!$U49&gt;=K$3,学校マスタ!$U49&lt;K$3+7),"◎",IF(OR(AND(学校マスタ!$H49&lt;&gt;"",学校マスタ!$H49&gt;=K$3,学校マスタ!$H49&lt;K$3+7),AND(学校マスタ!$J49&lt;&gt;"",学校マスタ!$J49&gt;=K$3,学校マスタ!$J49&lt;K$3+7),AND(学校マスタ!$L49&lt;&gt;"",学校マスタ!$L49&gt;=K$3,学校マスタ!$L49&lt;K$3+7)),"◆",IF(AND(学校マスタ!$O49&lt;&gt;"",学校マスタ!$P49&lt;&gt;"",学校マスタ!$O49&lt;K$3+7,学校マスタ!$P49&gt;=K$3),"█",IF(AND(学校マスタ!$R49&lt;&gt;"",学校マスタ!$U49&lt;&gt;"",学校マスタ!$R49&lt;K$3+7,学校マスタ!$U49&gt;=K$3),"▒","")))))</f>
        <v/>
      </c>
      <c r="L51" s="26">
        <f>IF(学校マスタ!$A49="","",IF(AND(学校マスタ!$U49&lt;&gt;"",学校マスタ!$U49&gt;=L$3,学校マスタ!$U49&lt;L$3+7),"◎",IF(OR(AND(学校マスタ!$H49&lt;&gt;"",学校マスタ!$H49&gt;=L$3,学校マスタ!$H49&lt;L$3+7),AND(学校マスタ!$J49&lt;&gt;"",学校マスタ!$J49&gt;=L$3,学校マスタ!$J49&lt;L$3+7),AND(学校マスタ!$L49&lt;&gt;"",学校マスタ!$L49&gt;=L$3,学校マスタ!$L49&lt;L$3+7)),"◆",IF(AND(学校マスタ!$O49&lt;&gt;"",学校マスタ!$P49&lt;&gt;"",学校マスタ!$O49&lt;L$3+7,学校マスタ!$P49&gt;=L$3),"█",IF(AND(学校マスタ!$R49&lt;&gt;"",学校マスタ!$U49&lt;&gt;"",学校マスタ!$R49&lt;L$3+7,学校マスタ!$U49&gt;=L$3),"▒","")))))</f>
        <v/>
      </c>
      <c r="M51" s="26">
        <f>IF(学校マスタ!$A49="","",IF(AND(学校マスタ!$U49&lt;&gt;"",学校マスタ!$U49&gt;=M$3,学校マスタ!$U49&lt;M$3+7),"◎",IF(OR(AND(学校マスタ!$H49&lt;&gt;"",学校マスタ!$H49&gt;=M$3,学校マスタ!$H49&lt;M$3+7),AND(学校マスタ!$J49&lt;&gt;"",学校マスタ!$J49&gt;=M$3,学校マスタ!$J49&lt;M$3+7),AND(学校マスタ!$L49&lt;&gt;"",学校マスタ!$L49&gt;=M$3,学校マスタ!$L49&lt;M$3+7)),"◆",IF(AND(学校マスタ!$O49&lt;&gt;"",学校マスタ!$P49&lt;&gt;"",学校マスタ!$O49&lt;M$3+7,学校マスタ!$P49&gt;=M$3),"█",IF(AND(学校マスタ!$R49&lt;&gt;"",学校マスタ!$U49&lt;&gt;"",学校マスタ!$R49&lt;M$3+7,学校マスタ!$U49&gt;=M$3),"▒","")))))</f>
        <v/>
      </c>
      <c r="N51" s="26">
        <f>IF(学校マスタ!$A49="","",IF(AND(学校マスタ!$U49&lt;&gt;"",学校マスタ!$U49&gt;=N$3,学校マスタ!$U49&lt;N$3+7),"◎",IF(OR(AND(学校マスタ!$H49&lt;&gt;"",学校マスタ!$H49&gt;=N$3,学校マスタ!$H49&lt;N$3+7),AND(学校マスタ!$J49&lt;&gt;"",学校マスタ!$J49&gt;=N$3,学校マスタ!$J49&lt;N$3+7),AND(学校マスタ!$L49&lt;&gt;"",学校マスタ!$L49&gt;=N$3,学校マスタ!$L49&lt;N$3+7)),"◆",IF(AND(学校マスタ!$O49&lt;&gt;"",学校マスタ!$P49&lt;&gt;"",学校マスタ!$O49&lt;N$3+7,学校マスタ!$P49&gt;=N$3),"█",IF(AND(学校マスタ!$R49&lt;&gt;"",学校マスタ!$U49&lt;&gt;"",学校マスタ!$R49&lt;N$3+7,学校マスタ!$U49&gt;=N$3),"▒","")))))</f>
        <v/>
      </c>
      <c r="O51" s="26">
        <f>IF(学校マスタ!$A49="","",IF(AND(学校マスタ!$U49&lt;&gt;"",学校マスタ!$U49&gt;=O$3,学校マスタ!$U49&lt;O$3+7),"◎",IF(OR(AND(学校マスタ!$H49&lt;&gt;"",学校マスタ!$H49&gt;=O$3,学校マスタ!$H49&lt;O$3+7),AND(学校マスタ!$J49&lt;&gt;"",学校マスタ!$J49&gt;=O$3,学校マスタ!$J49&lt;O$3+7),AND(学校マスタ!$L49&lt;&gt;"",学校マスタ!$L49&gt;=O$3,学校マスタ!$L49&lt;O$3+7)),"◆",IF(AND(学校マスタ!$O49&lt;&gt;"",学校マスタ!$P49&lt;&gt;"",学校マスタ!$O49&lt;O$3+7,学校マスタ!$P49&gt;=O$3),"█",IF(AND(学校マスタ!$R49&lt;&gt;"",学校マスタ!$U49&lt;&gt;"",学校マスタ!$R49&lt;O$3+7,学校マスタ!$U49&gt;=O$3),"▒","")))))</f>
        <v/>
      </c>
      <c r="P51" s="26">
        <f>IF(学校マスタ!$A49="","",IF(AND(学校マスタ!$U49&lt;&gt;"",学校マスタ!$U49&gt;=P$3,学校マスタ!$U49&lt;P$3+7),"◎",IF(OR(AND(学校マスタ!$H49&lt;&gt;"",学校マスタ!$H49&gt;=P$3,学校マスタ!$H49&lt;P$3+7),AND(学校マスタ!$J49&lt;&gt;"",学校マスタ!$J49&gt;=P$3,学校マスタ!$J49&lt;P$3+7),AND(学校マスタ!$L49&lt;&gt;"",学校マスタ!$L49&gt;=P$3,学校マスタ!$L49&lt;P$3+7)),"◆",IF(AND(学校マスタ!$O49&lt;&gt;"",学校マスタ!$P49&lt;&gt;"",学校マスタ!$O49&lt;P$3+7,学校マスタ!$P49&gt;=P$3),"█",IF(AND(学校マスタ!$R49&lt;&gt;"",学校マスタ!$U49&lt;&gt;"",学校マスタ!$R49&lt;P$3+7,学校マスタ!$U49&gt;=P$3),"▒","")))))</f>
        <v/>
      </c>
      <c r="Q51" s="26">
        <f>IF(学校マスタ!$A49="","",IF(AND(学校マスタ!$U49&lt;&gt;"",学校マスタ!$U49&gt;=Q$3,学校マスタ!$U49&lt;Q$3+7),"◎",IF(OR(AND(学校マスタ!$H49&lt;&gt;"",学校マスタ!$H49&gt;=Q$3,学校マスタ!$H49&lt;Q$3+7),AND(学校マスタ!$J49&lt;&gt;"",学校マスタ!$J49&gt;=Q$3,学校マスタ!$J49&lt;Q$3+7),AND(学校マスタ!$L49&lt;&gt;"",学校マスタ!$L49&gt;=Q$3,学校マスタ!$L49&lt;Q$3+7)),"◆",IF(AND(学校マスタ!$O49&lt;&gt;"",学校マスタ!$P49&lt;&gt;"",学校マスタ!$O49&lt;Q$3+7,学校マスタ!$P49&gt;=Q$3),"█",IF(AND(学校マスタ!$R49&lt;&gt;"",学校マスタ!$U49&lt;&gt;"",学校マスタ!$R49&lt;Q$3+7,学校マスタ!$U49&gt;=Q$3),"▒","")))))</f>
        <v/>
      </c>
      <c r="R51" s="26">
        <f>IF(学校マスタ!$A49="","",IF(AND(学校マスタ!$U49&lt;&gt;"",学校マスタ!$U49&gt;=R$3,学校マスタ!$U49&lt;R$3+7),"◎",IF(OR(AND(学校マスタ!$H49&lt;&gt;"",学校マスタ!$H49&gt;=R$3,学校マスタ!$H49&lt;R$3+7),AND(学校マスタ!$J49&lt;&gt;"",学校マスタ!$J49&gt;=R$3,学校マスタ!$J49&lt;R$3+7),AND(学校マスタ!$L49&lt;&gt;"",学校マスタ!$L49&gt;=R$3,学校マスタ!$L49&lt;R$3+7)),"◆",IF(AND(学校マスタ!$O49&lt;&gt;"",学校マスタ!$P49&lt;&gt;"",学校マスタ!$O49&lt;R$3+7,学校マスタ!$P49&gt;=R$3),"█",IF(AND(学校マスタ!$R49&lt;&gt;"",学校マスタ!$U49&lt;&gt;"",学校マスタ!$R49&lt;R$3+7,学校マスタ!$U49&gt;=R$3),"▒","")))))</f>
        <v/>
      </c>
      <c r="S51" s="26">
        <f>IF(学校マスタ!$A49="","",IF(AND(学校マスタ!$U49&lt;&gt;"",学校マスタ!$U49&gt;=S$3,学校マスタ!$U49&lt;S$3+7),"◎",IF(OR(AND(学校マスタ!$H49&lt;&gt;"",学校マスタ!$H49&gt;=S$3,学校マスタ!$H49&lt;S$3+7),AND(学校マスタ!$J49&lt;&gt;"",学校マスタ!$J49&gt;=S$3,学校マスタ!$J49&lt;S$3+7),AND(学校マスタ!$L49&lt;&gt;"",学校マスタ!$L49&gt;=S$3,学校マスタ!$L49&lt;S$3+7)),"◆",IF(AND(学校マスタ!$O49&lt;&gt;"",学校マスタ!$P49&lt;&gt;"",学校マスタ!$O49&lt;S$3+7,学校マスタ!$P49&gt;=S$3),"█",IF(AND(学校マスタ!$R49&lt;&gt;"",学校マスタ!$U49&lt;&gt;"",学校マスタ!$R49&lt;S$3+7,学校マスタ!$U49&gt;=S$3),"▒","")))))</f>
        <v/>
      </c>
      <c r="T51" s="26">
        <f>IF(学校マスタ!$A49="","",IF(AND(学校マスタ!$U49&lt;&gt;"",学校マスタ!$U49&gt;=T$3,学校マスタ!$U49&lt;T$3+7),"◎",IF(OR(AND(学校マスタ!$H49&lt;&gt;"",学校マスタ!$H49&gt;=T$3,学校マスタ!$H49&lt;T$3+7),AND(学校マスタ!$J49&lt;&gt;"",学校マスタ!$J49&gt;=T$3,学校マスタ!$J49&lt;T$3+7),AND(学校マスタ!$L49&lt;&gt;"",学校マスタ!$L49&gt;=T$3,学校マスタ!$L49&lt;T$3+7)),"◆",IF(AND(学校マスタ!$O49&lt;&gt;"",学校マスタ!$P49&lt;&gt;"",学校マスタ!$O49&lt;T$3+7,学校マスタ!$P49&gt;=T$3),"█",IF(AND(学校マスタ!$R49&lt;&gt;"",学校マスタ!$U49&lt;&gt;"",学校マスタ!$R49&lt;T$3+7,学校マスタ!$U49&gt;=T$3),"▒","")))))</f>
        <v/>
      </c>
      <c r="U51" s="26">
        <f>IF(学校マスタ!$A49="","",IF(AND(学校マスタ!$U49&lt;&gt;"",学校マスタ!$U49&gt;=U$3,学校マスタ!$U49&lt;U$3+7),"◎",IF(OR(AND(学校マスタ!$H49&lt;&gt;"",学校マスタ!$H49&gt;=U$3,学校マスタ!$H49&lt;U$3+7),AND(学校マスタ!$J49&lt;&gt;"",学校マスタ!$J49&gt;=U$3,学校マスタ!$J49&lt;U$3+7),AND(学校マスタ!$L49&lt;&gt;"",学校マスタ!$L49&gt;=U$3,学校マスタ!$L49&lt;U$3+7)),"◆",IF(AND(学校マスタ!$O49&lt;&gt;"",学校マスタ!$P49&lt;&gt;"",学校マスタ!$O49&lt;U$3+7,学校マスタ!$P49&gt;=U$3),"█",IF(AND(学校マスタ!$R49&lt;&gt;"",学校マスタ!$U49&lt;&gt;"",学校マスタ!$R49&lt;U$3+7,学校マスタ!$U49&gt;=U$3),"▒","")))))</f>
        <v/>
      </c>
      <c r="V51" s="26">
        <f>IF(学校マスタ!$A49="","",IF(AND(学校マスタ!$U49&lt;&gt;"",学校マスタ!$U49&gt;=V$3,学校マスタ!$U49&lt;V$3+7),"◎",IF(OR(AND(学校マスタ!$H49&lt;&gt;"",学校マスタ!$H49&gt;=V$3,学校マスタ!$H49&lt;V$3+7),AND(学校マスタ!$J49&lt;&gt;"",学校マスタ!$J49&gt;=V$3,学校マスタ!$J49&lt;V$3+7),AND(学校マスタ!$L49&lt;&gt;"",学校マスタ!$L49&gt;=V$3,学校マスタ!$L49&lt;V$3+7)),"◆",IF(AND(学校マスタ!$O49&lt;&gt;"",学校マスタ!$P49&lt;&gt;"",学校マスタ!$O49&lt;V$3+7,学校マスタ!$P49&gt;=V$3),"█",IF(AND(学校マスタ!$R49&lt;&gt;"",学校マスタ!$U49&lt;&gt;"",学校マスタ!$R49&lt;V$3+7,学校マスタ!$U49&gt;=V$3),"▒","")))))</f>
        <v/>
      </c>
      <c r="W51" s="26">
        <f>IF(学校マスタ!$A49="","",IF(AND(学校マスタ!$U49&lt;&gt;"",学校マスタ!$U49&gt;=W$3,学校マスタ!$U49&lt;W$3+7),"◎",IF(OR(AND(学校マスタ!$H49&lt;&gt;"",学校マスタ!$H49&gt;=W$3,学校マスタ!$H49&lt;W$3+7),AND(学校マスタ!$J49&lt;&gt;"",学校マスタ!$J49&gt;=W$3,学校マスタ!$J49&lt;W$3+7),AND(学校マスタ!$L49&lt;&gt;"",学校マスタ!$L49&gt;=W$3,学校マスタ!$L49&lt;W$3+7)),"◆",IF(AND(学校マスタ!$O49&lt;&gt;"",学校マスタ!$P49&lt;&gt;"",学校マスタ!$O49&lt;W$3+7,学校マスタ!$P49&gt;=W$3),"█",IF(AND(学校マスタ!$R49&lt;&gt;"",学校マスタ!$U49&lt;&gt;"",学校マスタ!$R49&lt;W$3+7,学校マスタ!$U49&gt;=W$3),"▒","")))))</f>
        <v/>
      </c>
      <c r="X51" s="26">
        <f>IF(学校マスタ!$A49="","",IF(AND(学校マスタ!$U49&lt;&gt;"",学校マスタ!$U49&gt;=X$3,学校マスタ!$U49&lt;X$3+7),"◎",IF(OR(AND(学校マスタ!$H49&lt;&gt;"",学校マスタ!$H49&gt;=X$3,学校マスタ!$H49&lt;X$3+7),AND(学校マスタ!$J49&lt;&gt;"",学校マスタ!$J49&gt;=X$3,学校マスタ!$J49&lt;X$3+7),AND(学校マスタ!$L49&lt;&gt;"",学校マスタ!$L49&gt;=X$3,学校マスタ!$L49&lt;X$3+7)),"◆",IF(AND(学校マスタ!$O49&lt;&gt;"",学校マスタ!$P49&lt;&gt;"",学校マスタ!$O49&lt;X$3+7,学校マスタ!$P49&gt;=X$3),"█",IF(AND(学校マスタ!$R49&lt;&gt;"",学校マスタ!$U49&lt;&gt;"",学校マスタ!$R49&lt;X$3+7,学校マスタ!$U49&gt;=X$3),"▒","")))))</f>
        <v/>
      </c>
      <c r="Y51" s="26">
        <f>IF(学校マスタ!$A49="","",IF(AND(学校マスタ!$U49&lt;&gt;"",学校マスタ!$U49&gt;=Y$3,学校マスタ!$U49&lt;Y$3+7),"◎",IF(OR(AND(学校マスタ!$H49&lt;&gt;"",学校マスタ!$H49&gt;=Y$3,学校マスタ!$H49&lt;Y$3+7),AND(学校マスタ!$J49&lt;&gt;"",学校マスタ!$J49&gt;=Y$3,学校マスタ!$J49&lt;Y$3+7),AND(学校マスタ!$L49&lt;&gt;"",学校マスタ!$L49&gt;=Y$3,学校マスタ!$L49&lt;Y$3+7)),"◆",IF(AND(学校マスタ!$O49&lt;&gt;"",学校マスタ!$P49&lt;&gt;"",学校マスタ!$O49&lt;Y$3+7,学校マスタ!$P49&gt;=Y$3),"█",IF(AND(学校マスタ!$R49&lt;&gt;"",学校マスタ!$U49&lt;&gt;"",学校マスタ!$R49&lt;Y$3+7,学校マスタ!$U49&gt;=Y$3),"▒","")))))</f>
        <v/>
      </c>
      <c r="Z51" s="26">
        <f>IF(学校マスタ!$A49="","",IF(AND(学校マスタ!$U49&lt;&gt;"",学校マスタ!$U49&gt;=Z$3,学校マスタ!$U49&lt;Z$3+7),"◎",IF(OR(AND(学校マスタ!$H49&lt;&gt;"",学校マスタ!$H49&gt;=Z$3,学校マスタ!$H49&lt;Z$3+7),AND(学校マスタ!$J49&lt;&gt;"",学校マスタ!$J49&gt;=Z$3,学校マスタ!$J49&lt;Z$3+7),AND(学校マスタ!$L49&lt;&gt;"",学校マスタ!$L49&gt;=Z$3,学校マスタ!$L49&lt;Z$3+7)),"◆",IF(AND(学校マスタ!$O49&lt;&gt;"",学校マスタ!$P49&lt;&gt;"",学校マスタ!$O49&lt;Z$3+7,学校マスタ!$P49&gt;=Z$3),"█",IF(AND(学校マスタ!$R49&lt;&gt;"",学校マスタ!$U49&lt;&gt;"",学校マスタ!$R49&lt;Z$3+7,学校マスタ!$U49&gt;=Z$3),"▒","")))))</f>
        <v/>
      </c>
      <c r="AA51" s="26">
        <f>IF(学校マスタ!$A49="","",IF(AND(学校マスタ!$U49&lt;&gt;"",学校マスタ!$U49&gt;=AA$3,学校マスタ!$U49&lt;AA$3+7),"◎",IF(OR(AND(学校マスタ!$H49&lt;&gt;"",学校マスタ!$H49&gt;=AA$3,学校マスタ!$H49&lt;AA$3+7),AND(学校マスタ!$J49&lt;&gt;"",学校マスタ!$J49&gt;=AA$3,学校マスタ!$J49&lt;AA$3+7),AND(学校マスタ!$L49&lt;&gt;"",学校マスタ!$L49&gt;=AA$3,学校マスタ!$L49&lt;AA$3+7)),"◆",IF(AND(学校マスタ!$O49&lt;&gt;"",学校マスタ!$P49&lt;&gt;"",学校マスタ!$O49&lt;AA$3+7,学校マスタ!$P49&gt;=AA$3),"█",IF(AND(学校マスタ!$R49&lt;&gt;"",学校マスタ!$U49&lt;&gt;"",学校マスタ!$R49&lt;AA$3+7,学校マスタ!$U49&gt;=AA$3),"▒","")))))</f>
        <v/>
      </c>
      <c r="AB51" s="26">
        <f>IF(学校マスタ!$A49="","",IF(AND(学校マスタ!$U49&lt;&gt;"",学校マスタ!$U49&gt;=AB$3,学校マスタ!$U49&lt;AB$3+7),"◎",IF(OR(AND(学校マスタ!$H49&lt;&gt;"",学校マスタ!$H49&gt;=AB$3,学校マスタ!$H49&lt;AB$3+7),AND(学校マスタ!$J49&lt;&gt;"",学校マスタ!$J49&gt;=AB$3,学校マスタ!$J49&lt;AB$3+7),AND(学校マスタ!$L49&lt;&gt;"",学校マスタ!$L49&gt;=AB$3,学校マスタ!$L49&lt;AB$3+7)),"◆",IF(AND(学校マスタ!$O49&lt;&gt;"",学校マスタ!$P49&lt;&gt;"",学校マスタ!$O49&lt;AB$3+7,学校マスタ!$P49&gt;=AB$3),"█",IF(AND(学校マスタ!$R49&lt;&gt;"",学校マスタ!$U49&lt;&gt;"",学校マスタ!$R49&lt;AB$3+7,学校マスタ!$U49&gt;=AB$3),"▒","")))))</f>
        <v/>
      </c>
    </row>
    <row r="52">
      <c r="A52" s="19">
        <f>IF(学校マスタ!$A50="","",学校マスタ!$A50)</f>
        <v/>
      </c>
      <c r="B52" s="19">
        <f>IF(学校マスタ!$A50="","",学校マスタ!$C50)</f>
        <v/>
      </c>
      <c r="C52" s="19">
        <f>IF(学校マスタ!$A50="","",学校マスタ!$X50)</f>
        <v/>
      </c>
      <c r="D52" s="25">
        <f>IF(学校マスタ!$A50="","",学校マスタ!$R50)</f>
        <v/>
      </c>
      <c r="E52" s="26">
        <f>IF(学校マスタ!$A50="","",IF(AND(学校マスタ!$U50&lt;&gt;"",学校マスタ!$U50&gt;=E$3,学校マスタ!$U50&lt;E$3+7),"◎",IF(OR(AND(学校マスタ!$H50&lt;&gt;"",学校マスタ!$H50&gt;=E$3,学校マスタ!$H50&lt;E$3+7),AND(学校マスタ!$J50&lt;&gt;"",学校マスタ!$J50&gt;=E$3,学校マスタ!$J50&lt;E$3+7),AND(学校マスタ!$L50&lt;&gt;"",学校マスタ!$L50&gt;=E$3,学校マスタ!$L50&lt;E$3+7)),"◆",IF(AND(学校マスタ!$O50&lt;&gt;"",学校マスタ!$P50&lt;&gt;"",学校マスタ!$O50&lt;E$3+7,学校マスタ!$P50&gt;=E$3),"█",IF(AND(学校マスタ!$R50&lt;&gt;"",学校マスタ!$U50&lt;&gt;"",学校マスタ!$R50&lt;E$3+7,学校マスタ!$U50&gt;=E$3),"▒","")))))</f>
        <v/>
      </c>
      <c r="F52" s="26">
        <f>IF(学校マスタ!$A50="","",IF(AND(学校マスタ!$U50&lt;&gt;"",学校マスタ!$U50&gt;=F$3,学校マスタ!$U50&lt;F$3+7),"◎",IF(OR(AND(学校マスタ!$H50&lt;&gt;"",学校マスタ!$H50&gt;=F$3,学校マスタ!$H50&lt;F$3+7),AND(学校マスタ!$J50&lt;&gt;"",学校マスタ!$J50&gt;=F$3,学校マスタ!$J50&lt;F$3+7),AND(学校マスタ!$L50&lt;&gt;"",学校マスタ!$L50&gt;=F$3,学校マスタ!$L50&lt;F$3+7)),"◆",IF(AND(学校マスタ!$O50&lt;&gt;"",学校マスタ!$P50&lt;&gt;"",学校マスタ!$O50&lt;F$3+7,学校マスタ!$P50&gt;=F$3),"█",IF(AND(学校マスタ!$R50&lt;&gt;"",学校マスタ!$U50&lt;&gt;"",学校マスタ!$R50&lt;F$3+7,学校マスタ!$U50&gt;=F$3),"▒","")))))</f>
        <v/>
      </c>
      <c r="G52" s="26">
        <f>IF(学校マスタ!$A50="","",IF(AND(学校マスタ!$U50&lt;&gt;"",学校マスタ!$U50&gt;=G$3,学校マスタ!$U50&lt;G$3+7),"◎",IF(OR(AND(学校マスタ!$H50&lt;&gt;"",学校マスタ!$H50&gt;=G$3,学校マスタ!$H50&lt;G$3+7),AND(学校マスタ!$J50&lt;&gt;"",学校マスタ!$J50&gt;=G$3,学校マスタ!$J50&lt;G$3+7),AND(学校マスタ!$L50&lt;&gt;"",学校マスタ!$L50&gt;=G$3,学校マスタ!$L50&lt;G$3+7)),"◆",IF(AND(学校マスタ!$O50&lt;&gt;"",学校マスタ!$P50&lt;&gt;"",学校マスタ!$O50&lt;G$3+7,学校マスタ!$P50&gt;=G$3),"█",IF(AND(学校マスタ!$R50&lt;&gt;"",学校マスタ!$U50&lt;&gt;"",学校マスタ!$R50&lt;G$3+7,学校マスタ!$U50&gt;=G$3),"▒","")))))</f>
        <v/>
      </c>
      <c r="H52" s="26">
        <f>IF(学校マスタ!$A50="","",IF(AND(学校マスタ!$U50&lt;&gt;"",学校マスタ!$U50&gt;=H$3,学校マスタ!$U50&lt;H$3+7),"◎",IF(OR(AND(学校マスタ!$H50&lt;&gt;"",学校マスタ!$H50&gt;=H$3,学校マスタ!$H50&lt;H$3+7),AND(学校マスタ!$J50&lt;&gt;"",学校マスタ!$J50&gt;=H$3,学校マスタ!$J50&lt;H$3+7),AND(学校マスタ!$L50&lt;&gt;"",学校マスタ!$L50&gt;=H$3,学校マスタ!$L50&lt;H$3+7)),"◆",IF(AND(学校マスタ!$O50&lt;&gt;"",学校マスタ!$P50&lt;&gt;"",学校マスタ!$O50&lt;H$3+7,学校マスタ!$P50&gt;=H$3),"█",IF(AND(学校マスタ!$R50&lt;&gt;"",学校マスタ!$U50&lt;&gt;"",学校マスタ!$R50&lt;H$3+7,学校マスタ!$U50&gt;=H$3),"▒","")))))</f>
        <v/>
      </c>
      <c r="I52" s="26">
        <f>IF(学校マスタ!$A50="","",IF(AND(学校マスタ!$U50&lt;&gt;"",学校マスタ!$U50&gt;=I$3,学校マスタ!$U50&lt;I$3+7),"◎",IF(OR(AND(学校マスタ!$H50&lt;&gt;"",学校マスタ!$H50&gt;=I$3,学校マスタ!$H50&lt;I$3+7),AND(学校マスタ!$J50&lt;&gt;"",学校マスタ!$J50&gt;=I$3,学校マスタ!$J50&lt;I$3+7),AND(学校マスタ!$L50&lt;&gt;"",学校マスタ!$L50&gt;=I$3,学校マスタ!$L50&lt;I$3+7)),"◆",IF(AND(学校マスタ!$O50&lt;&gt;"",学校マスタ!$P50&lt;&gt;"",学校マスタ!$O50&lt;I$3+7,学校マスタ!$P50&gt;=I$3),"█",IF(AND(学校マスタ!$R50&lt;&gt;"",学校マスタ!$U50&lt;&gt;"",学校マスタ!$R50&lt;I$3+7,学校マスタ!$U50&gt;=I$3),"▒","")))))</f>
        <v/>
      </c>
      <c r="J52" s="26">
        <f>IF(学校マスタ!$A50="","",IF(AND(学校マスタ!$U50&lt;&gt;"",学校マスタ!$U50&gt;=J$3,学校マスタ!$U50&lt;J$3+7),"◎",IF(OR(AND(学校マスタ!$H50&lt;&gt;"",学校マスタ!$H50&gt;=J$3,学校マスタ!$H50&lt;J$3+7),AND(学校マスタ!$J50&lt;&gt;"",学校マスタ!$J50&gt;=J$3,学校マスタ!$J50&lt;J$3+7),AND(学校マスタ!$L50&lt;&gt;"",学校マスタ!$L50&gt;=J$3,学校マスタ!$L50&lt;J$3+7)),"◆",IF(AND(学校マスタ!$O50&lt;&gt;"",学校マスタ!$P50&lt;&gt;"",学校マスタ!$O50&lt;J$3+7,学校マスタ!$P50&gt;=J$3),"█",IF(AND(学校マスタ!$R50&lt;&gt;"",学校マスタ!$U50&lt;&gt;"",学校マスタ!$R50&lt;J$3+7,学校マスタ!$U50&gt;=J$3),"▒","")))))</f>
        <v/>
      </c>
      <c r="K52" s="26">
        <f>IF(学校マスタ!$A50="","",IF(AND(学校マスタ!$U50&lt;&gt;"",学校マスタ!$U50&gt;=K$3,学校マスタ!$U50&lt;K$3+7),"◎",IF(OR(AND(学校マスタ!$H50&lt;&gt;"",学校マスタ!$H50&gt;=K$3,学校マスタ!$H50&lt;K$3+7),AND(学校マスタ!$J50&lt;&gt;"",学校マスタ!$J50&gt;=K$3,学校マスタ!$J50&lt;K$3+7),AND(学校マスタ!$L50&lt;&gt;"",学校マスタ!$L50&gt;=K$3,学校マスタ!$L50&lt;K$3+7)),"◆",IF(AND(学校マスタ!$O50&lt;&gt;"",学校マスタ!$P50&lt;&gt;"",学校マスタ!$O50&lt;K$3+7,学校マスタ!$P50&gt;=K$3),"█",IF(AND(学校マスタ!$R50&lt;&gt;"",学校マスタ!$U50&lt;&gt;"",学校マスタ!$R50&lt;K$3+7,学校マスタ!$U50&gt;=K$3),"▒","")))))</f>
        <v/>
      </c>
      <c r="L52" s="26">
        <f>IF(学校マスタ!$A50="","",IF(AND(学校マスタ!$U50&lt;&gt;"",学校マスタ!$U50&gt;=L$3,学校マスタ!$U50&lt;L$3+7),"◎",IF(OR(AND(学校マスタ!$H50&lt;&gt;"",学校マスタ!$H50&gt;=L$3,学校マスタ!$H50&lt;L$3+7),AND(学校マスタ!$J50&lt;&gt;"",学校マスタ!$J50&gt;=L$3,学校マスタ!$J50&lt;L$3+7),AND(学校マスタ!$L50&lt;&gt;"",学校マスタ!$L50&gt;=L$3,学校マスタ!$L50&lt;L$3+7)),"◆",IF(AND(学校マスタ!$O50&lt;&gt;"",学校マスタ!$P50&lt;&gt;"",学校マスタ!$O50&lt;L$3+7,学校マスタ!$P50&gt;=L$3),"█",IF(AND(学校マスタ!$R50&lt;&gt;"",学校マスタ!$U50&lt;&gt;"",学校マスタ!$R50&lt;L$3+7,学校マスタ!$U50&gt;=L$3),"▒","")))))</f>
        <v/>
      </c>
      <c r="M52" s="26">
        <f>IF(学校マスタ!$A50="","",IF(AND(学校マスタ!$U50&lt;&gt;"",学校マスタ!$U50&gt;=M$3,学校マスタ!$U50&lt;M$3+7),"◎",IF(OR(AND(学校マスタ!$H50&lt;&gt;"",学校マスタ!$H50&gt;=M$3,学校マスタ!$H50&lt;M$3+7),AND(学校マスタ!$J50&lt;&gt;"",学校マスタ!$J50&gt;=M$3,学校マスタ!$J50&lt;M$3+7),AND(学校マスタ!$L50&lt;&gt;"",学校マスタ!$L50&gt;=M$3,学校マスタ!$L50&lt;M$3+7)),"◆",IF(AND(学校マスタ!$O50&lt;&gt;"",学校マスタ!$P50&lt;&gt;"",学校マスタ!$O50&lt;M$3+7,学校マスタ!$P50&gt;=M$3),"█",IF(AND(学校マスタ!$R50&lt;&gt;"",学校マスタ!$U50&lt;&gt;"",学校マスタ!$R50&lt;M$3+7,学校マスタ!$U50&gt;=M$3),"▒","")))))</f>
        <v/>
      </c>
      <c r="N52" s="26">
        <f>IF(学校マスタ!$A50="","",IF(AND(学校マスタ!$U50&lt;&gt;"",学校マスタ!$U50&gt;=N$3,学校マスタ!$U50&lt;N$3+7),"◎",IF(OR(AND(学校マスタ!$H50&lt;&gt;"",学校マスタ!$H50&gt;=N$3,学校マスタ!$H50&lt;N$3+7),AND(学校マスタ!$J50&lt;&gt;"",学校マスタ!$J50&gt;=N$3,学校マスタ!$J50&lt;N$3+7),AND(学校マスタ!$L50&lt;&gt;"",学校マスタ!$L50&gt;=N$3,学校マスタ!$L50&lt;N$3+7)),"◆",IF(AND(学校マスタ!$O50&lt;&gt;"",学校マスタ!$P50&lt;&gt;"",学校マスタ!$O50&lt;N$3+7,学校マスタ!$P50&gt;=N$3),"█",IF(AND(学校マスタ!$R50&lt;&gt;"",学校マスタ!$U50&lt;&gt;"",学校マスタ!$R50&lt;N$3+7,学校マスタ!$U50&gt;=N$3),"▒","")))))</f>
        <v/>
      </c>
      <c r="O52" s="26">
        <f>IF(学校マスタ!$A50="","",IF(AND(学校マスタ!$U50&lt;&gt;"",学校マスタ!$U50&gt;=O$3,学校マスタ!$U50&lt;O$3+7),"◎",IF(OR(AND(学校マスタ!$H50&lt;&gt;"",学校マスタ!$H50&gt;=O$3,学校マスタ!$H50&lt;O$3+7),AND(学校マスタ!$J50&lt;&gt;"",学校マスタ!$J50&gt;=O$3,学校マスタ!$J50&lt;O$3+7),AND(学校マスタ!$L50&lt;&gt;"",学校マスタ!$L50&gt;=O$3,学校マスタ!$L50&lt;O$3+7)),"◆",IF(AND(学校マスタ!$O50&lt;&gt;"",学校マスタ!$P50&lt;&gt;"",学校マスタ!$O50&lt;O$3+7,学校マスタ!$P50&gt;=O$3),"█",IF(AND(学校マスタ!$R50&lt;&gt;"",学校マスタ!$U50&lt;&gt;"",学校マスタ!$R50&lt;O$3+7,学校マスタ!$U50&gt;=O$3),"▒","")))))</f>
        <v/>
      </c>
      <c r="P52" s="26">
        <f>IF(学校マスタ!$A50="","",IF(AND(学校マスタ!$U50&lt;&gt;"",学校マスタ!$U50&gt;=P$3,学校マスタ!$U50&lt;P$3+7),"◎",IF(OR(AND(学校マスタ!$H50&lt;&gt;"",学校マスタ!$H50&gt;=P$3,学校マスタ!$H50&lt;P$3+7),AND(学校マスタ!$J50&lt;&gt;"",学校マスタ!$J50&gt;=P$3,学校マスタ!$J50&lt;P$3+7),AND(学校マスタ!$L50&lt;&gt;"",学校マスタ!$L50&gt;=P$3,学校マスタ!$L50&lt;P$3+7)),"◆",IF(AND(学校マスタ!$O50&lt;&gt;"",学校マスタ!$P50&lt;&gt;"",学校マスタ!$O50&lt;P$3+7,学校マスタ!$P50&gt;=P$3),"█",IF(AND(学校マスタ!$R50&lt;&gt;"",学校マスタ!$U50&lt;&gt;"",学校マスタ!$R50&lt;P$3+7,学校マスタ!$U50&gt;=P$3),"▒","")))))</f>
        <v/>
      </c>
      <c r="Q52" s="26">
        <f>IF(学校マスタ!$A50="","",IF(AND(学校マスタ!$U50&lt;&gt;"",学校マスタ!$U50&gt;=Q$3,学校マスタ!$U50&lt;Q$3+7),"◎",IF(OR(AND(学校マスタ!$H50&lt;&gt;"",学校マスタ!$H50&gt;=Q$3,学校マスタ!$H50&lt;Q$3+7),AND(学校マスタ!$J50&lt;&gt;"",学校マスタ!$J50&gt;=Q$3,学校マスタ!$J50&lt;Q$3+7),AND(学校マスタ!$L50&lt;&gt;"",学校マスタ!$L50&gt;=Q$3,学校マスタ!$L50&lt;Q$3+7)),"◆",IF(AND(学校マスタ!$O50&lt;&gt;"",学校マスタ!$P50&lt;&gt;"",学校マスタ!$O50&lt;Q$3+7,学校マスタ!$P50&gt;=Q$3),"█",IF(AND(学校マスタ!$R50&lt;&gt;"",学校マスタ!$U50&lt;&gt;"",学校マスタ!$R50&lt;Q$3+7,学校マスタ!$U50&gt;=Q$3),"▒","")))))</f>
        <v/>
      </c>
      <c r="R52" s="26">
        <f>IF(学校マスタ!$A50="","",IF(AND(学校マスタ!$U50&lt;&gt;"",学校マスタ!$U50&gt;=R$3,学校マスタ!$U50&lt;R$3+7),"◎",IF(OR(AND(学校マスタ!$H50&lt;&gt;"",学校マスタ!$H50&gt;=R$3,学校マスタ!$H50&lt;R$3+7),AND(学校マスタ!$J50&lt;&gt;"",学校マスタ!$J50&gt;=R$3,学校マスタ!$J50&lt;R$3+7),AND(学校マスタ!$L50&lt;&gt;"",学校マスタ!$L50&gt;=R$3,学校マスタ!$L50&lt;R$3+7)),"◆",IF(AND(学校マスタ!$O50&lt;&gt;"",学校マスタ!$P50&lt;&gt;"",学校マスタ!$O50&lt;R$3+7,学校マスタ!$P50&gt;=R$3),"█",IF(AND(学校マスタ!$R50&lt;&gt;"",学校マスタ!$U50&lt;&gt;"",学校マスタ!$R50&lt;R$3+7,学校マスタ!$U50&gt;=R$3),"▒","")))))</f>
        <v/>
      </c>
      <c r="S52" s="26">
        <f>IF(学校マスタ!$A50="","",IF(AND(学校マスタ!$U50&lt;&gt;"",学校マスタ!$U50&gt;=S$3,学校マスタ!$U50&lt;S$3+7),"◎",IF(OR(AND(学校マスタ!$H50&lt;&gt;"",学校マスタ!$H50&gt;=S$3,学校マスタ!$H50&lt;S$3+7),AND(学校マスタ!$J50&lt;&gt;"",学校マスタ!$J50&gt;=S$3,学校マスタ!$J50&lt;S$3+7),AND(学校マスタ!$L50&lt;&gt;"",学校マスタ!$L50&gt;=S$3,学校マスタ!$L50&lt;S$3+7)),"◆",IF(AND(学校マスタ!$O50&lt;&gt;"",学校マスタ!$P50&lt;&gt;"",学校マスタ!$O50&lt;S$3+7,学校マスタ!$P50&gt;=S$3),"█",IF(AND(学校マスタ!$R50&lt;&gt;"",学校マスタ!$U50&lt;&gt;"",学校マスタ!$R50&lt;S$3+7,学校マスタ!$U50&gt;=S$3),"▒","")))))</f>
        <v/>
      </c>
      <c r="T52" s="26">
        <f>IF(学校マスタ!$A50="","",IF(AND(学校マスタ!$U50&lt;&gt;"",学校マスタ!$U50&gt;=T$3,学校マスタ!$U50&lt;T$3+7),"◎",IF(OR(AND(学校マスタ!$H50&lt;&gt;"",学校マスタ!$H50&gt;=T$3,学校マスタ!$H50&lt;T$3+7),AND(学校マスタ!$J50&lt;&gt;"",学校マスタ!$J50&gt;=T$3,学校マスタ!$J50&lt;T$3+7),AND(学校マスタ!$L50&lt;&gt;"",学校マスタ!$L50&gt;=T$3,学校マスタ!$L50&lt;T$3+7)),"◆",IF(AND(学校マスタ!$O50&lt;&gt;"",学校マスタ!$P50&lt;&gt;"",学校マスタ!$O50&lt;T$3+7,学校マスタ!$P50&gt;=T$3),"█",IF(AND(学校マスタ!$R50&lt;&gt;"",学校マスタ!$U50&lt;&gt;"",学校マスタ!$R50&lt;T$3+7,学校マスタ!$U50&gt;=T$3),"▒","")))))</f>
        <v/>
      </c>
      <c r="U52" s="26">
        <f>IF(学校マスタ!$A50="","",IF(AND(学校マスタ!$U50&lt;&gt;"",学校マスタ!$U50&gt;=U$3,学校マスタ!$U50&lt;U$3+7),"◎",IF(OR(AND(学校マスタ!$H50&lt;&gt;"",学校マスタ!$H50&gt;=U$3,学校マスタ!$H50&lt;U$3+7),AND(学校マスタ!$J50&lt;&gt;"",学校マスタ!$J50&gt;=U$3,学校マスタ!$J50&lt;U$3+7),AND(学校マスタ!$L50&lt;&gt;"",学校マスタ!$L50&gt;=U$3,学校マスタ!$L50&lt;U$3+7)),"◆",IF(AND(学校マスタ!$O50&lt;&gt;"",学校マスタ!$P50&lt;&gt;"",学校マスタ!$O50&lt;U$3+7,学校マスタ!$P50&gt;=U$3),"█",IF(AND(学校マスタ!$R50&lt;&gt;"",学校マスタ!$U50&lt;&gt;"",学校マスタ!$R50&lt;U$3+7,学校マスタ!$U50&gt;=U$3),"▒","")))))</f>
        <v/>
      </c>
      <c r="V52" s="26">
        <f>IF(学校マスタ!$A50="","",IF(AND(学校マスタ!$U50&lt;&gt;"",学校マスタ!$U50&gt;=V$3,学校マスタ!$U50&lt;V$3+7),"◎",IF(OR(AND(学校マスタ!$H50&lt;&gt;"",学校マスタ!$H50&gt;=V$3,学校マスタ!$H50&lt;V$3+7),AND(学校マスタ!$J50&lt;&gt;"",学校マスタ!$J50&gt;=V$3,学校マスタ!$J50&lt;V$3+7),AND(学校マスタ!$L50&lt;&gt;"",学校マスタ!$L50&gt;=V$3,学校マスタ!$L50&lt;V$3+7)),"◆",IF(AND(学校マスタ!$O50&lt;&gt;"",学校マスタ!$P50&lt;&gt;"",学校マスタ!$O50&lt;V$3+7,学校マスタ!$P50&gt;=V$3),"█",IF(AND(学校マスタ!$R50&lt;&gt;"",学校マスタ!$U50&lt;&gt;"",学校マスタ!$R50&lt;V$3+7,学校マスタ!$U50&gt;=V$3),"▒","")))))</f>
        <v/>
      </c>
      <c r="W52" s="26">
        <f>IF(学校マスタ!$A50="","",IF(AND(学校マスタ!$U50&lt;&gt;"",学校マスタ!$U50&gt;=W$3,学校マスタ!$U50&lt;W$3+7),"◎",IF(OR(AND(学校マスタ!$H50&lt;&gt;"",学校マスタ!$H50&gt;=W$3,学校マスタ!$H50&lt;W$3+7),AND(学校マスタ!$J50&lt;&gt;"",学校マスタ!$J50&gt;=W$3,学校マスタ!$J50&lt;W$3+7),AND(学校マスタ!$L50&lt;&gt;"",学校マスタ!$L50&gt;=W$3,学校マスタ!$L50&lt;W$3+7)),"◆",IF(AND(学校マスタ!$O50&lt;&gt;"",学校マスタ!$P50&lt;&gt;"",学校マスタ!$O50&lt;W$3+7,学校マスタ!$P50&gt;=W$3),"█",IF(AND(学校マスタ!$R50&lt;&gt;"",学校マスタ!$U50&lt;&gt;"",学校マスタ!$R50&lt;W$3+7,学校マスタ!$U50&gt;=W$3),"▒","")))))</f>
        <v/>
      </c>
      <c r="X52" s="26">
        <f>IF(学校マスタ!$A50="","",IF(AND(学校マスタ!$U50&lt;&gt;"",学校マスタ!$U50&gt;=X$3,学校マスタ!$U50&lt;X$3+7),"◎",IF(OR(AND(学校マスタ!$H50&lt;&gt;"",学校マスタ!$H50&gt;=X$3,学校マスタ!$H50&lt;X$3+7),AND(学校マスタ!$J50&lt;&gt;"",学校マスタ!$J50&gt;=X$3,学校マスタ!$J50&lt;X$3+7),AND(学校マスタ!$L50&lt;&gt;"",学校マスタ!$L50&gt;=X$3,学校マスタ!$L50&lt;X$3+7)),"◆",IF(AND(学校マスタ!$O50&lt;&gt;"",学校マスタ!$P50&lt;&gt;"",学校マスタ!$O50&lt;X$3+7,学校マスタ!$P50&gt;=X$3),"█",IF(AND(学校マスタ!$R50&lt;&gt;"",学校マスタ!$U50&lt;&gt;"",学校マスタ!$R50&lt;X$3+7,学校マスタ!$U50&gt;=X$3),"▒","")))))</f>
        <v/>
      </c>
      <c r="Y52" s="26">
        <f>IF(学校マスタ!$A50="","",IF(AND(学校マスタ!$U50&lt;&gt;"",学校マスタ!$U50&gt;=Y$3,学校マスタ!$U50&lt;Y$3+7),"◎",IF(OR(AND(学校マスタ!$H50&lt;&gt;"",学校マスタ!$H50&gt;=Y$3,学校マスタ!$H50&lt;Y$3+7),AND(学校マスタ!$J50&lt;&gt;"",学校マスタ!$J50&gt;=Y$3,学校マスタ!$J50&lt;Y$3+7),AND(学校マスタ!$L50&lt;&gt;"",学校マスタ!$L50&gt;=Y$3,学校マスタ!$L50&lt;Y$3+7)),"◆",IF(AND(学校マスタ!$O50&lt;&gt;"",学校マスタ!$P50&lt;&gt;"",学校マスタ!$O50&lt;Y$3+7,学校マスタ!$P50&gt;=Y$3),"█",IF(AND(学校マスタ!$R50&lt;&gt;"",学校マスタ!$U50&lt;&gt;"",学校マスタ!$R50&lt;Y$3+7,学校マスタ!$U50&gt;=Y$3),"▒","")))))</f>
        <v/>
      </c>
      <c r="Z52" s="26">
        <f>IF(学校マスタ!$A50="","",IF(AND(学校マスタ!$U50&lt;&gt;"",学校マスタ!$U50&gt;=Z$3,学校マスタ!$U50&lt;Z$3+7),"◎",IF(OR(AND(学校マスタ!$H50&lt;&gt;"",学校マスタ!$H50&gt;=Z$3,学校マスタ!$H50&lt;Z$3+7),AND(学校マスタ!$J50&lt;&gt;"",学校マスタ!$J50&gt;=Z$3,学校マスタ!$J50&lt;Z$3+7),AND(学校マスタ!$L50&lt;&gt;"",学校マスタ!$L50&gt;=Z$3,学校マスタ!$L50&lt;Z$3+7)),"◆",IF(AND(学校マスタ!$O50&lt;&gt;"",学校マスタ!$P50&lt;&gt;"",学校マスタ!$O50&lt;Z$3+7,学校マスタ!$P50&gt;=Z$3),"█",IF(AND(学校マスタ!$R50&lt;&gt;"",学校マスタ!$U50&lt;&gt;"",学校マスタ!$R50&lt;Z$3+7,学校マスタ!$U50&gt;=Z$3),"▒","")))))</f>
        <v/>
      </c>
      <c r="AA52" s="26">
        <f>IF(学校マスタ!$A50="","",IF(AND(学校マスタ!$U50&lt;&gt;"",学校マスタ!$U50&gt;=AA$3,学校マスタ!$U50&lt;AA$3+7),"◎",IF(OR(AND(学校マスタ!$H50&lt;&gt;"",学校マスタ!$H50&gt;=AA$3,学校マスタ!$H50&lt;AA$3+7),AND(学校マスタ!$J50&lt;&gt;"",学校マスタ!$J50&gt;=AA$3,学校マスタ!$J50&lt;AA$3+7),AND(学校マスタ!$L50&lt;&gt;"",学校マスタ!$L50&gt;=AA$3,学校マスタ!$L50&lt;AA$3+7)),"◆",IF(AND(学校マスタ!$O50&lt;&gt;"",学校マスタ!$P50&lt;&gt;"",学校マスタ!$O50&lt;AA$3+7,学校マスタ!$P50&gt;=AA$3),"█",IF(AND(学校マスタ!$R50&lt;&gt;"",学校マスタ!$U50&lt;&gt;"",学校マスタ!$R50&lt;AA$3+7,学校マスタ!$U50&gt;=AA$3),"▒","")))))</f>
        <v/>
      </c>
      <c r="AB52" s="26">
        <f>IF(学校マスタ!$A50="","",IF(AND(学校マスタ!$U50&lt;&gt;"",学校マスタ!$U50&gt;=AB$3,学校マスタ!$U50&lt;AB$3+7),"◎",IF(OR(AND(学校マスタ!$H50&lt;&gt;"",学校マスタ!$H50&gt;=AB$3,学校マスタ!$H50&lt;AB$3+7),AND(学校マスタ!$J50&lt;&gt;"",学校マスタ!$J50&gt;=AB$3,学校マスタ!$J50&lt;AB$3+7),AND(学校マスタ!$L50&lt;&gt;"",学校マスタ!$L50&gt;=AB$3,学校マスタ!$L50&lt;AB$3+7)),"◆",IF(AND(学校マスタ!$O50&lt;&gt;"",学校マスタ!$P50&lt;&gt;"",学校マスタ!$O50&lt;AB$3+7,学校マスタ!$P50&gt;=AB$3),"█",IF(AND(学校マスタ!$R50&lt;&gt;"",学校マスタ!$U50&lt;&gt;"",学校マスタ!$R50&lt;AB$3+7,学校マスタ!$U50&gt;=AB$3),"▒","")))))</f>
        <v/>
      </c>
    </row>
    <row r="53">
      <c r="A53" s="19">
        <f>IF(学校マスタ!$A51="","",学校マスタ!$A51)</f>
        <v/>
      </c>
      <c r="B53" s="19">
        <f>IF(学校マスタ!$A51="","",学校マスタ!$C51)</f>
        <v/>
      </c>
      <c r="C53" s="19">
        <f>IF(学校マスタ!$A51="","",学校マスタ!$X51)</f>
        <v/>
      </c>
      <c r="D53" s="25">
        <f>IF(学校マスタ!$A51="","",学校マスタ!$R51)</f>
        <v/>
      </c>
      <c r="E53" s="26">
        <f>IF(学校マスタ!$A51="","",IF(AND(学校マスタ!$U51&lt;&gt;"",学校マスタ!$U51&gt;=E$3,学校マスタ!$U51&lt;E$3+7),"◎",IF(OR(AND(学校マスタ!$H51&lt;&gt;"",学校マスタ!$H51&gt;=E$3,学校マスタ!$H51&lt;E$3+7),AND(学校マスタ!$J51&lt;&gt;"",学校マスタ!$J51&gt;=E$3,学校マスタ!$J51&lt;E$3+7),AND(学校マスタ!$L51&lt;&gt;"",学校マスタ!$L51&gt;=E$3,学校マスタ!$L51&lt;E$3+7)),"◆",IF(AND(学校マスタ!$O51&lt;&gt;"",学校マスタ!$P51&lt;&gt;"",学校マスタ!$O51&lt;E$3+7,学校マスタ!$P51&gt;=E$3),"█",IF(AND(学校マスタ!$R51&lt;&gt;"",学校マスタ!$U51&lt;&gt;"",学校マスタ!$R51&lt;E$3+7,学校マスタ!$U51&gt;=E$3),"▒","")))))</f>
        <v/>
      </c>
      <c r="F53" s="26">
        <f>IF(学校マスタ!$A51="","",IF(AND(学校マスタ!$U51&lt;&gt;"",学校マスタ!$U51&gt;=F$3,学校マスタ!$U51&lt;F$3+7),"◎",IF(OR(AND(学校マスタ!$H51&lt;&gt;"",学校マスタ!$H51&gt;=F$3,学校マスタ!$H51&lt;F$3+7),AND(学校マスタ!$J51&lt;&gt;"",学校マスタ!$J51&gt;=F$3,学校マスタ!$J51&lt;F$3+7),AND(学校マスタ!$L51&lt;&gt;"",学校マスタ!$L51&gt;=F$3,学校マスタ!$L51&lt;F$3+7)),"◆",IF(AND(学校マスタ!$O51&lt;&gt;"",学校マスタ!$P51&lt;&gt;"",学校マスタ!$O51&lt;F$3+7,学校マスタ!$P51&gt;=F$3),"█",IF(AND(学校マスタ!$R51&lt;&gt;"",学校マスタ!$U51&lt;&gt;"",学校マスタ!$R51&lt;F$3+7,学校マスタ!$U51&gt;=F$3),"▒","")))))</f>
        <v/>
      </c>
      <c r="G53" s="26">
        <f>IF(学校マスタ!$A51="","",IF(AND(学校マスタ!$U51&lt;&gt;"",学校マスタ!$U51&gt;=G$3,学校マスタ!$U51&lt;G$3+7),"◎",IF(OR(AND(学校マスタ!$H51&lt;&gt;"",学校マスタ!$H51&gt;=G$3,学校マスタ!$H51&lt;G$3+7),AND(学校マスタ!$J51&lt;&gt;"",学校マスタ!$J51&gt;=G$3,学校マスタ!$J51&lt;G$3+7),AND(学校マスタ!$L51&lt;&gt;"",学校マスタ!$L51&gt;=G$3,学校マスタ!$L51&lt;G$3+7)),"◆",IF(AND(学校マスタ!$O51&lt;&gt;"",学校マスタ!$P51&lt;&gt;"",学校マスタ!$O51&lt;G$3+7,学校マスタ!$P51&gt;=G$3),"█",IF(AND(学校マスタ!$R51&lt;&gt;"",学校マスタ!$U51&lt;&gt;"",学校マスタ!$R51&lt;G$3+7,学校マスタ!$U51&gt;=G$3),"▒","")))))</f>
        <v/>
      </c>
      <c r="H53" s="26">
        <f>IF(学校マスタ!$A51="","",IF(AND(学校マスタ!$U51&lt;&gt;"",学校マスタ!$U51&gt;=H$3,学校マスタ!$U51&lt;H$3+7),"◎",IF(OR(AND(学校マスタ!$H51&lt;&gt;"",学校マスタ!$H51&gt;=H$3,学校マスタ!$H51&lt;H$3+7),AND(学校マスタ!$J51&lt;&gt;"",学校マスタ!$J51&gt;=H$3,学校マスタ!$J51&lt;H$3+7),AND(学校マスタ!$L51&lt;&gt;"",学校マスタ!$L51&gt;=H$3,学校マスタ!$L51&lt;H$3+7)),"◆",IF(AND(学校マスタ!$O51&lt;&gt;"",学校マスタ!$P51&lt;&gt;"",学校マスタ!$O51&lt;H$3+7,学校マスタ!$P51&gt;=H$3),"█",IF(AND(学校マスタ!$R51&lt;&gt;"",学校マスタ!$U51&lt;&gt;"",学校マスタ!$R51&lt;H$3+7,学校マスタ!$U51&gt;=H$3),"▒","")))))</f>
        <v/>
      </c>
      <c r="I53" s="26">
        <f>IF(学校マスタ!$A51="","",IF(AND(学校マスタ!$U51&lt;&gt;"",学校マスタ!$U51&gt;=I$3,学校マスタ!$U51&lt;I$3+7),"◎",IF(OR(AND(学校マスタ!$H51&lt;&gt;"",学校マスタ!$H51&gt;=I$3,学校マスタ!$H51&lt;I$3+7),AND(学校マスタ!$J51&lt;&gt;"",学校マスタ!$J51&gt;=I$3,学校マスタ!$J51&lt;I$3+7),AND(学校マスタ!$L51&lt;&gt;"",学校マスタ!$L51&gt;=I$3,学校マスタ!$L51&lt;I$3+7)),"◆",IF(AND(学校マスタ!$O51&lt;&gt;"",学校マスタ!$P51&lt;&gt;"",学校マスタ!$O51&lt;I$3+7,学校マスタ!$P51&gt;=I$3),"█",IF(AND(学校マスタ!$R51&lt;&gt;"",学校マスタ!$U51&lt;&gt;"",学校マスタ!$R51&lt;I$3+7,学校マスタ!$U51&gt;=I$3),"▒","")))))</f>
        <v/>
      </c>
      <c r="J53" s="26">
        <f>IF(学校マスタ!$A51="","",IF(AND(学校マスタ!$U51&lt;&gt;"",学校マスタ!$U51&gt;=J$3,学校マスタ!$U51&lt;J$3+7),"◎",IF(OR(AND(学校マスタ!$H51&lt;&gt;"",学校マスタ!$H51&gt;=J$3,学校マスタ!$H51&lt;J$3+7),AND(学校マスタ!$J51&lt;&gt;"",学校マスタ!$J51&gt;=J$3,学校マスタ!$J51&lt;J$3+7),AND(学校マスタ!$L51&lt;&gt;"",学校マスタ!$L51&gt;=J$3,学校マスタ!$L51&lt;J$3+7)),"◆",IF(AND(学校マスタ!$O51&lt;&gt;"",学校マスタ!$P51&lt;&gt;"",学校マスタ!$O51&lt;J$3+7,学校マスタ!$P51&gt;=J$3),"█",IF(AND(学校マスタ!$R51&lt;&gt;"",学校マスタ!$U51&lt;&gt;"",学校マスタ!$R51&lt;J$3+7,学校マスタ!$U51&gt;=J$3),"▒","")))))</f>
        <v/>
      </c>
      <c r="K53" s="26">
        <f>IF(学校マスタ!$A51="","",IF(AND(学校マスタ!$U51&lt;&gt;"",学校マスタ!$U51&gt;=K$3,学校マスタ!$U51&lt;K$3+7),"◎",IF(OR(AND(学校マスタ!$H51&lt;&gt;"",学校マスタ!$H51&gt;=K$3,学校マスタ!$H51&lt;K$3+7),AND(学校マスタ!$J51&lt;&gt;"",学校マスタ!$J51&gt;=K$3,学校マスタ!$J51&lt;K$3+7),AND(学校マスタ!$L51&lt;&gt;"",学校マスタ!$L51&gt;=K$3,学校マスタ!$L51&lt;K$3+7)),"◆",IF(AND(学校マスタ!$O51&lt;&gt;"",学校マスタ!$P51&lt;&gt;"",学校マスタ!$O51&lt;K$3+7,学校マスタ!$P51&gt;=K$3),"█",IF(AND(学校マスタ!$R51&lt;&gt;"",学校マスタ!$U51&lt;&gt;"",学校マスタ!$R51&lt;K$3+7,学校マスタ!$U51&gt;=K$3),"▒","")))))</f>
        <v/>
      </c>
      <c r="L53" s="26">
        <f>IF(学校マスタ!$A51="","",IF(AND(学校マスタ!$U51&lt;&gt;"",学校マスタ!$U51&gt;=L$3,学校マスタ!$U51&lt;L$3+7),"◎",IF(OR(AND(学校マスタ!$H51&lt;&gt;"",学校マスタ!$H51&gt;=L$3,学校マスタ!$H51&lt;L$3+7),AND(学校マスタ!$J51&lt;&gt;"",学校マスタ!$J51&gt;=L$3,学校マスタ!$J51&lt;L$3+7),AND(学校マスタ!$L51&lt;&gt;"",学校マスタ!$L51&gt;=L$3,学校マスタ!$L51&lt;L$3+7)),"◆",IF(AND(学校マスタ!$O51&lt;&gt;"",学校マスタ!$P51&lt;&gt;"",学校マスタ!$O51&lt;L$3+7,学校マスタ!$P51&gt;=L$3),"█",IF(AND(学校マスタ!$R51&lt;&gt;"",学校マスタ!$U51&lt;&gt;"",学校マスタ!$R51&lt;L$3+7,学校マスタ!$U51&gt;=L$3),"▒","")))))</f>
        <v/>
      </c>
      <c r="M53" s="26">
        <f>IF(学校マスタ!$A51="","",IF(AND(学校マスタ!$U51&lt;&gt;"",学校マスタ!$U51&gt;=M$3,学校マスタ!$U51&lt;M$3+7),"◎",IF(OR(AND(学校マスタ!$H51&lt;&gt;"",学校マスタ!$H51&gt;=M$3,学校マスタ!$H51&lt;M$3+7),AND(学校マスタ!$J51&lt;&gt;"",学校マスタ!$J51&gt;=M$3,学校マスタ!$J51&lt;M$3+7),AND(学校マスタ!$L51&lt;&gt;"",学校マスタ!$L51&gt;=M$3,学校マスタ!$L51&lt;M$3+7)),"◆",IF(AND(学校マスタ!$O51&lt;&gt;"",学校マスタ!$P51&lt;&gt;"",学校マスタ!$O51&lt;M$3+7,学校マスタ!$P51&gt;=M$3),"█",IF(AND(学校マスタ!$R51&lt;&gt;"",学校マスタ!$U51&lt;&gt;"",学校マスタ!$R51&lt;M$3+7,学校マスタ!$U51&gt;=M$3),"▒","")))))</f>
        <v/>
      </c>
      <c r="N53" s="26">
        <f>IF(学校マスタ!$A51="","",IF(AND(学校マスタ!$U51&lt;&gt;"",学校マスタ!$U51&gt;=N$3,学校マスタ!$U51&lt;N$3+7),"◎",IF(OR(AND(学校マスタ!$H51&lt;&gt;"",学校マスタ!$H51&gt;=N$3,学校マスタ!$H51&lt;N$3+7),AND(学校マスタ!$J51&lt;&gt;"",学校マスタ!$J51&gt;=N$3,学校マスタ!$J51&lt;N$3+7),AND(学校マスタ!$L51&lt;&gt;"",学校マスタ!$L51&gt;=N$3,学校マスタ!$L51&lt;N$3+7)),"◆",IF(AND(学校マスタ!$O51&lt;&gt;"",学校マスタ!$P51&lt;&gt;"",学校マスタ!$O51&lt;N$3+7,学校マスタ!$P51&gt;=N$3),"█",IF(AND(学校マスタ!$R51&lt;&gt;"",学校マスタ!$U51&lt;&gt;"",学校マスタ!$R51&lt;N$3+7,学校マスタ!$U51&gt;=N$3),"▒","")))))</f>
        <v/>
      </c>
      <c r="O53" s="26">
        <f>IF(学校マスタ!$A51="","",IF(AND(学校マスタ!$U51&lt;&gt;"",学校マスタ!$U51&gt;=O$3,学校マスタ!$U51&lt;O$3+7),"◎",IF(OR(AND(学校マスタ!$H51&lt;&gt;"",学校マスタ!$H51&gt;=O$3,学校マスタ!$H51&lt;O$3+7),AND(学校マスタ!$J51&lt;&gt;"",学校マスタ!$J51&gt;=O$3,学校マスタ!$J51&lt;O$3+7),AND(学校マスタ!$L51&lt;&gt;"",学校マスタ!$L51&gt;=O$3,学校マスタ!$L51&lt;O$3+7)),"◆",IF(AND(学校マスタ!$O51&lt;&gt;"",学校マスタ!$P51&lt;&gt;"",学校マスタ!$O51&lt;O$3+7,学校マスタ!$P51&gt;=O$3),"█",IF(AND(学校マスタ!$R51&lt;&gt;"",学校マスタ!$U51&lt;&gt;"",学校マスタ!$R51&lt;O$3+7,学校マスタ!$U51&gt;=O$3),"▒","")))))</f>
        <v/>
      </c>
      <c r="P53" s="26">
        <f>IF(学校マスタ!$A51="","",IF(AND(学校マスタ!$U51&lt;&gt;"",学校マスタ!$U51&gt;=P$3,学校マスタ!$U51&lt;P$3+7),"◎",IF(OR(AND(学校マスタ!$H51&lt;&gt;"",学校マスタ!$H51&gt;=P$3,学校マスタ!$H51&lt;P$3+7),AND(学校マスタ!$J51&lt;&gt;"",学校マスタ!$J51&gt;=P$3,学校マスタ!$J51&lt;P$3+7),AND(学校マスタ!$L51&lt;&gt;"",学校マスタ!$L51&gt;=P$3,学校マスタ!$L51&lt;P$3+7)),"◆",IF(AND(学校マスタ!$O51&lt;&gt;"",学校マスタ!$P51&lt;&gt;"",学校マスタ!$O51&lt;P$3+7,学校マスタ!$P51&gt;=P$3),"█",IF(AND(学校マスタ!$R51&lt;&gt;"",学校マスタ!$U51&lt;&gt;"",学校マスタ!$R51&lt;P$3+7,学校マスタ!$U51&gt;=P$3),"▒","")))))</f>
        <v/>
      </c>
      <c r="Q53" s="26">
        <f>IF(学校マスタ!$A51="","",IF(AND(学校マスタ!$U51&lt;&gt;"",学校マスタ!$U51&gt;=Q$3,学校マスタ!$U51&lt;Q$3+7),"◎",IF(OR(AND(学校マスタ!$H51&lt;&gt;"",学校マスタ!$H51&gt;=Q$3,学校マスタ!$H51&lt;Q$3+7),AND(学校マスタ!$J51&lt;&gt;"",学校マスタ!$J51&gt;=Q$3,学校マスタ!$J51&lt;Q$3+7),AND(学校マスタ!$L51&lt;&gt;"",学校マスタ!$L51&gt;=Q$3,学校マスタ!$L51&lt;Q$3+7)),"◆",IF(AND(学校マスタ!$O51&lt;&gt;"",学校マスタ!$P51&lt;&gt;"",学校マスタ!$O51&lt;Q$3+7,学校マスタ!$P51&gt;=Q$3),"█",IF(AND(学校マスタ!$R51&lt;&gt;"",学校マスタ!$U51&lt;&gt;"",学校マスタ!$R51&lt;Q$3+7,学校マスタ!$U51&gt;=Q$3),"▒","")))))</f>
        <v/>
      </c>
      <c r="R53" s="26">
        <f>IF(学校マスタ!$A51="","",IF(AND(学校マスタ!$U51&lt;&gt;"",学校マスタ!$U51&gt;=R$3,学校マスタ!$U51&lt;R$3+7),"◎",IF(OR(AND(学校マスタ!$H51&lt;&gt;"",学校マスタ!$H51&gt;=R$3,学校マスタ!$H51&lt;R$3+7),AND(学校マスタ!$J51&lt;&gt;"",学校マスタ!$J51&gt;=R$3,学校マスタ!$J51&lt;R$3+7),AND(学校マスタ!$L51&lt;&gt;"",学校マスタ!$L51&gt;=R$3,学校マスタ!$L51&lt;R$3+7)),"◆",IF(AND(学校マスタ!$O51&lt;&gt;"",学校マスタ!$P51&lt;&gt;"",学校マスタ!$O51&lt;R$3+7,学校マスタ!$P51&gt;=R$3),"█",IF(AND(学校マスタ!$R51&lt;&gt;"",学校マスタ!$U51&lt;&gt;"",学校マスタ!$R51&lt;R$3+7,学校マスタ!$U51&gt;=R$3),"▒","")))))</f>
        <v/>
      </c>
      <c r="S53" s="26">
        <f>IF(学校マスタ!$A51="","",IF(AND(学校マスタ!$U51&lt;&gt;"",学校マスタ!$U51&gt;=S$3,学校マスタ!$U51&lt;S$3+7),"◎",IF(OR(AND(学校マスタ!$H51&lt;&gt;"",学校マスタ!$H51&gt;=S$3,学校マスタ!$H51&lt;S$3+7),AND(学校マスタ!$J51&lt;&gt;"",学校マスタ!$J51&gt;=S$3,学校マスタ!$J51&lt;S$3+7),AND(学校マスタ!$L51&lt;&gt;"",学校マスタ!$L51&gt;=S$3,学校マスタ!$L51&lt;S$3+7)),"◆",IF(AND(学校マスタ!$O51&lt;&gt;"",学校マスタ!$P51&lt;&gt;"",学校マスタ!$O51&lt;S$3+7,学校マスタ!$P51&gt;=S$3),"█",IF(AND(学校マスタ!$R51&lt;&gt;"",学校マスタ!$U51&lt;&gt;"",学校マスタ!$R51&lt;S$3+7,学校マスタ!$U51&gt;=S$3),"▒","")))))</f>
        <v/>
      </c>
      <c r="T53" s="26">
        <f>IF(学校マスタ!$A51="","",IF(AND(学校マスタ!$U51&lt;&gt;"",学校マスタ!$U51&gt;=T$3,学校マスタ!$U51&lt;T$3+7),"◎",IF(OR(AND(学校マスタ!$H51&lt;&gt;"",学校マスタ!$H51&gt;=T$3,学校マスタ!$H51&lt;T$3+7),AND(学校マスタ!$J51&lt;&gt;"",学校マスタ!$J51&gt;=T$3,学校マスタ!$J51&lt;T$3+7),AND(学校マスタ!$L51&lt;&gt;"",学校マスタ!$L51&gt;=T$3,学校マスタ!$L51&lt;T$3+7)),"◆",IF(AND(学校マスタ!$O51&lt;&gt;"",学校マスタ!$P51&lt;&gt;"",学校マスタ!$O51&lt;T$3+7,学校マスタ!$P51&gt;=T$3),"█",IF(AND(学校マスタ!$R51&lt;&gt;"",学校マスタ!$U51&lt;&gt;"",学校マスタ!$R51&lt;T$3+7,学校マスタ!$U51&gt;=T$3),"▒","")))))</f>
        <v/>
      </c>
      <c r="U53" s="26">
        <f>IF(学校マスタ!$A51="","",IF(AND(学校マスタ!$U51&lt;&gt;"",学校マスタ!$U51&gt;=U$3,学校マスタ!$U51&lt;U$3+7),"◎",IF(OR(AND(学校マスタ!$H51&lt;&gt;"",学校マスタ!$H51&gt;=U$3,学校マスタ!$H51&lt;U$3+7),AND(学校マスタ!$J51&lt;&gt;"",学校マスタ!$J51&gt;=U$3,学校マスタ!$J51&lt;U$3+7),AND(学校マスタ!$L51&lt;&gt;"",学校マスタ!$L51&gt;=U$3,学校マスタ!$L51&lt;U$3+7)),"◆",IF(AND(学校マスタ!$O51&lt;&gt;"",学校マスタ!$P51&lt;&gt;"",学校マスタ!$O51&lt;U$3+7,学校マスタ!$P51&gt;=U$3),"█",IF(AND(学校マスタ!$R51&lt;&gt;"",学校マスタ!$U51&lt;&gt;"",学校マスタ!$R51&lt;U$3+7,学校マスタ!$U51&gt;=U$3),"▒","")))))</f>
        <v/>
      </c>
      <c r="V53" s="26">
        <f>IF(学校マスタ!$A51="","",IF(AND(学校マスタ!$U51&lt;&gt;"",学校マスタ!$U51&gt;=V$3,学校マスタ!$U51&lt;V$3+7),"◎",IF(OR(AND(学校マスタ!$H51&lt;&gt;"",学校マスタ!$H51&gt;=V$3,学校マスタ!$H51&lt;V$3+7),AND(学校マスタ!$J51&lt;&gt;"",学校マスタ!$J51&gt;=V$3,学校マスタ!$J51&lt;V$3+7),AND(学校マスタ!$L51&lt;&gt;"",学校マスタ!$L51&gt;=V$3,学校マスタ!$L51&lt;V$3+7)),"◆",IF(AND(学校マスタ!$O51&lt;&gt;"",学校マスタ!$P51&lt;&gt;"",学校マスタ!$O51&lt;V$3+7,学校マスタ!$P51&gt;=V$3),"█",IF(AND(学校マスタ!$R51&lt;&gt;"",学校マスタ!$U51&lt;&gt;"",学校マスタ!$R51&lt;V$3+7,学校マスタ!$U51&gt;=V$3),"▒","")))))</f>
        <v/>
      </c>
      <c r="W53" s="26">
        <f>IF(学校マスタ!$A51="","",IF(AND(学校マスタ!$U51&lt;&gt;"",学校マスタ!$U51&gt;=W$3,学校マスタ!$U51&lt;W$3+7),"◎",IF(OR(AND(学校マスタ!$H51&lt;&gt;"",学校マスタ!$H51&gt;=W$3,学校マスタ!$H51&lt;W$3+7),AND(学校マスタ!$J51&lt;&gt;"",学校マスタ!$J51&gt;=W$3,学校マスタ!$J51&lt;W$3+7),AND(学校マスタ!$L51&lt;&gt;"",学校マスタ!$L51&gt;=W$3,学校マスタ!$L51&lt;W$3+7)),"◆",IF(AND(学校マスタ!$O51&lt;&gt;"",学校マスタ!$P51&lt;&gt;"",学校マスタ!$O51&lt;W$3+7,学校マスタ!$P51&gt;=W$3),"█",IF(AND(学校マスタ!$R51&lt;&gt;"",学校マスタ!$U51&lt;&gt;"",学校マスタ!$R51&lt;W$3+7,学校マスタ!$U51&gt;=W$3),"▒","")))))</f>
        <v/>
      </c>
      <c r="X53" s="26">
        <f>IF(学校マスタ!$A51="","",IF(AND(学校マスタ!$U51&lt;&gt;"",学校マスタ!$U51&gt;=X$3,学校マスタ!$U51&lt;X$3+7),"◎",IF(OR(AND(学校マスタ!$H51&lt;&gt;"",学校マスタ!$H51&gt;=X$3,学校マスタ!$H51&lt;X$3+7),AND(学校マスタ!$J51&lt;&gt;"",学校マスタ!$J51&gt;=X$3,学校マスタ!$J51&lt;X$3+7),AND(学校マスタ!$L51&lt;&gt;"",学校マスタ!$L51&gt;=X$3,学校マスタ!$L51&lt;X$3+7)),"◆",IF(AND(学校マスタ!$O51&lt;&gt;"",学校マスタ!$P51&lt;&gt;"",学校マスタ!$O51&lt;X$3+7,学校マスタ!$P51&gt;=X$3),"█",IF(AND(学校マスタ!$R51&lt;&gt;"",学校マスタ!$U51&lt;&gt;"",学校マスタ!$R51&lt;X$3+7,学校マスタ!$U51&gt;=X$3),"▒","")))))</f>
        <v/>
      </c>
      <c r="Y53" s="26">
        <f>IF(学校マスタ!$A51="","",IF(AND(学校マスタ!$U51&lt;&gt;"",学校マスタ!$U51&gt;=Y$3,学校マスタ!$U51&lt;Y$3+7),"◎",IF(OR(AND(学校マスタ!$H51&lt;&gt;"",学校マスタ!$H51&gt;=Y$3,学校マスタ!$H51&lt;Y$3+7),AND(学校マスタ!$J51&lt;&gt;"",学校マスタ!$J51&gt;=Y$3,学校マスタ!$J51&lt;Y$3+7),AND(学校マスタ!$L51&lt;&gt;"",学校マスタ!$L51&gt;=Y$3,学校マスタ!$L51&lt;Y$3+7)),"◆",IF(AND(学校マスタ!$O51&lt;&gt;"",学校マスタ!$P51&lt;&gt;"",学校マスタ!$O51&lt;Y$3+7,学校マスタ!$P51&gt;=Y$3),"█",IF(AND(学校マスタ!$R51&lt;&gt;"",学校マスタ!$U51&lt;&gt;"",学校マスタ!$R51&lt;Y$3+7,学校マスタ!$U51&gt;=Y$3),"▒","")))))</f>
        <v/>
      </c>
      <c r="Z53" s="26">
        <f>IF(学校マスタ!$A51="","",IF(AND(学校マスタ!$U51&lt;&gt;"",学校マスタ!$U51&gt;=Z$3,学校マスタ!$U51&lt;Z$3+7),"◎",IF(OR(AND(学校マスタ!$H51&lt;&gt;"",学校マスタ!$H51&gt;=Z$3,学校マスタ!$H51&lt;Z$3+7),AND(学校マスタ!$J51&lt;&gt;"",学校マスタ!$J51&gt;=Z$3,学校マスタ!$J51&lt;Z$3+7),AND(学校マスタ!$L51&lt;&gt;"",学校マスタ!$L51&gt;=Z$3,学校マスタ!$L51&lt;Z$3+7)),"◆",IF(AND(学校マスタ!$O51&lt;&gt;"",学校マスタ!$P51&lt;&gt;"",学校マスタ!$O51&lt;Z$3+7,学校マスタ!$P51&gt;=Z$3),"█",IF(AND(学校マスタ!$R51&lt;&gt;"",学校マスタ!$U51&lt;&gt;"",学校マスタ!$R51&lt;Z$3+7,学校マスタ!$U51&gt;=Z$3),"▒","")))))</f>
        <v/>
      </c>
      <c r="AA53" s="26">
        <f>IF(学校マスタ!$A51="","",IF(AND(学校マスタ!$U51&lt;&gt;"",学校マスタ!$U51&gt;=AA$3,学校マスタ!$U51&lt;AA$3+7),"◎",IF(OR(AND(学校マスタ!$H51&lt;&gt;"",学校マスタ!$H51&gt;=AA$3,学校マスタ!$H51&lt;AA$3+7),AND(学校マスタ!$J51&lt;&gt;"",学校マスタ!$J51&gt;=AA$3,学校マスタ!$J51&lt;AA$3+7),AND(学校マスタ!$L51&lt;&gt;"",学校マスタ!$L51&gt;=AA$3,学校マスタ!$L51&lt;AA$3+7)),"◆",IF(AND(学校マスタ!$O51&lt;&gt;"",学校マスタ!$P51&lt;&gt;"",学校マスタ!$O51&lt;AA$3+7,学校マスタ!$P51&gt;=AA$3),"█",IF(AND(学校マスタ!$R51&lt;&gt;"",学校マスタ!$U51&lt;&gt;"",学校マスタ!$R51&lt;AA$3+7,学校マスタ!$U51&gt;=AA$3),"▒","")))))</f>
        <v/>
      </c>
      <c r="AB53" s="26">
        <f>IF(学校マスタ!$A51="","",IF(AND(学校マスタ!$U51&lt;&gt;"",学校マスタ!$U51&gt;=AB$3,学校マスタ!$U51&lt;AB$3+7),"◎",IF(OR(AND(学校マスタ!$H51&lt;&gt;"",学校マスタ!$H51&gt;=AB$3,学校マスタ!$H51&lt;AB$3+7),AND(学校マスタ!$J51&lt;&gt;"",学校マスタ!$J51&gt;=AB$3,学校マスタ!$J51&lt;AB$3+7),AND(学校マスタ!$L51&lt;&gt;"",学校マスタ!$L51&gt;=AB$3,学校マスタ!$L51&lt;AB$3+7)),"◆",IF(AND(学校マスタ!$O51&lt;&gt;"",学校マスタ!$P51&lt;&gt;"",学校マスタ!$O51&lt;AB$3+7,学校マスタ!$P51&gt;=AB$3),"█",IF(AND(学校マスタ!$R51&lt;&gt;"",学校マスタ!$U51&lt;&gt;"",学校マスタ!$R51&lt;AB$3+7,学校マスタ!$U51&gt;=AB$3),"▒","")))))</f>
        <v/>
      </c>
    </row>
    <row r="54">
      <c r="A54" s="19">
        <f>IF(学校マスタ!$A52="","",学校マスタ!$A52)</f>
        <v/>
      </c>
      <c r="B54" s="19">
        <f>IF(学校マスタ!$A52="","",学校マスタ!$C52)</f>
        <v/>
      </c>
      <c r="C54" s="19">
        <f>IF(学校マスタ!$A52="","",学校マスタ!$X52)</f>
        <v/>
      </c>
      <c r="D54" s="25">
        <f>IF(学校マスタ!$A52="","",学校マスタ!$R52)</f>
        <v/>
      </c>
      <c r="E54" s="26">
        <f>IF(学校マスタ!$A52="","",IF(AND(学校マスタ!$U52&lt;&gt;"",学校マスタ!$U52&gt;=E$3,学校マスタ!$U52&lt;E$3+7),"◎",IF(OR(AND(学校マスタ!$H52&lt;&gt;"",学校マスタ!$H52&gt;=E$3,学校マスタ!$H52&lt;E$3+7),AND(学校マスタ!$J52&lt;&gt;"",学校マスタ!$J52&gt;=E$3,学校マスタ!$J52&lt;E$3+7),AND(学校マスタ!$L52&lt;&gt;"",学校マスタ!$L52&gt;=E$3,学校マスタ!$L52&lt;E$3+7)),"◆",IF(AND(学校マスタ!$O52&lt;&gt;"",学校マスタ!$P52&lt;&gt;"",学校マスタ!$O52&lt;E$3+7,学校マスタ!$P52&gt;=E$3),"█",IF(AND(学校マスタ!$R52&lt;&gt;"",学校マスタ!$U52&lt;&gt;"",学校マスタ!$R52&lt;E$3+7,学校マスタ!$U52&gt;=E$3),"▒","")))))</f>
        <v/>
      </c>
      <c r="F54" s="26">
        <f>IF(学校マスタ!$A52="","",IF(AND(学校マスタ!$U52&lt;&gt;"",学校マスタ!$U52&gt;=F$3,学校マスタ!$U52&lt;F$3+7),"◎",IF(OR(AND(学校マスタ!$H52&lt;&gt;"",学校マスタ!$H52&gt;=F$3,学校マスタ!$H52&lt;F$3+7),AND(学校マスタ!$J52&lt;&gt;"",学校マスタ!$J52&gt;=F$3,学校マスタ!$J52&lt;F$3+7),AND(学校マスタ!$L52&lt;&gt;"",学校マスタ!$L52&gt;=F$3,学校マスタ!$L52&lt;F$3+7)),"◆",IF(AND(学校マスタ!$O52&lt;&gt;"",学校マスタ!$P52&lt;&gt;"",学校マスタ!$O52&lt;F$3+7,学校マスタ!$P52&gt;=F$3),"█",IF(AND(学校マスタ!$R52&lt;&gt;"",学校マスタ!$U52&lt;&gt;"",学校マスタ!$R52&lt;F$3+7,学校マスタ!$U52&gt;=F$3),"▒","")))))</f>
        <v/>
      </c>
      <c r="G54" s="26">
        <f>IF(学校マスタ!$A52="","",IF(AND(学校マスタ!$U52&lt;&gt;"",学校マスタ!$U52&gt;=G$3,学校マスタ!$U52&lt;G$3+7),"◎",IF(OR(AND(学校マスタ!$H52&lt;&gt;"",学校マスタ!$H52&gt;=G$3,学校マスタ!$H52&lt;G$3+7),AND(学校マスタ!$J52&lt;&gt;"",学校マスタ!$J52&gt;=G$3,学校マスタ!$J52&lt;G$3+7),AND(学校マスタ!$L52&lt;&gt;"",学校マスタ!$L52&gt;=G$3,学校マスタ!$L52&lt;G$3+7)),"◆",IF(AND(学校マスタ!$O52&lt;&gt;"",学校マスタ!$P52&lt;&gt;"",学校マスタ!$O52&lt;G$3+7,学校マスタ!$P52&gt;=G$3),"█",IF(AND(学校マスタ!$R52&lt;&gt;"",学校マスタ!$U52&lt;&gt;"",学校マスタ!$R52&lt;G$3+7,学校マスタ!$U52&gt;=G$3),"▒","")))))</f>
        <v/>
      </c>
      <c r="H54" s="26">
        <f>IF(学校マスタ!$A52="","",IF(AND(学校マスタ!$U52&lt;&gt;"",学校マスタ!$U52&gt;=H$3,学校マスタ!$U52&lt;H$3+7),"◎",IF(OR(AND(学校マスタ!$H52&lt;&gt;"",学校マスタ!$H52&gt;=H$3,学校マスタ!$H52&lt;H$3+7),AND(学校マスタ!$J52&lt;&gt;"",学校マスタ!$J52&gt;=H$3,学校マスタ!$J52&lt;H$3+7),AND(学校マスタ!$L52&lt;&gt;"",学校マスタ!$L52&gt;=H$3,学校マスタ!$L52&lt;H$3+7)),"◆",IF(AND(学校マスタ!$O52&lt;&gt;"",学校マスタ!$P52&lt;&gt;"",学校マスタ!$O52&lt;H$3+7,学校マスタ!$P52&gt;=H$3),"█",IF(AND(学校マスタ!$R52&lt;&gt;"",学校マスタ!$U52&lt;&gt;"",学校マスタ!$R52&lt;H$3+7,学校マスタ!$U52&gt;=H$3),"▒","")))))</f>
        <v/>
      </c>
      <c r="I54" s="26">
        <f>IF(学校マスタ!$A52="","",IF(AND(学校マスタ!$U52&lt;&gt;"",学校マスタ!$U52&gt;=I$3,学校マスタ!$U52&lt;I$3+7),"◎",IF(OR(AND(学校マスタ!$H52&lt;&gt;"",学校マスタ!$H52&gt;=I$3,学校マスタ!$H52&lt;I$3+7),AND(学校マスタ!$J52&lt;&gt;"",学校マスタ!$J52&gt;=I$3,学校マスタ!$J52&lt;I$3+7),AND(学校マスタ!$L52&lt;&gt;"",学校マスタ!$L52&gt;=I$3,学校マスタ!$L52&lt;I$3+7)),"◆",IF(AND(学校マスタ!$O52&lt;&gt;"",学校マスタ!$P52&lt;&gt;"",学校マスタ!$O52&lt;I$3+7,学校マスタ!$P52&gt;=I$3),"█",IF(AND(学校マスタ!$R52&lt;&gt;"",学校マスタ!$U52&lt;&gt;"",学校マスタ!$R52&lt;I$3+7,学校マスタ!$U52&gt;=I$3),"▒","")))))</f>
        <v/>
      </c>
      <c r="J54" s="26">
        <f>IF(学校マスタ!$A52="","",IF(AND(学校マスタ!$U52&lt;&gt;"",学校マスタ!$U52&gt;=J$3,学校マスタ!$U52&lt;J$3+7),"◎",IF(OR(AND(学校マスタ!$H52&lt;&gt;"",学校マスタ!$H52&gt;=J$3,学校マスタ!$H52&lt;J$3+7),AND(学校マスタ!$J52&lt;&gt;"",学校マスタ!$J52&gt;=J$3,学校マスタ!$J52&lt;J$3+7),AND(学校マスタ!$L52&lt;&gt;"",学校マスタ!$L52&gt;=J$3,学校マスタ!$L52&lt;J$3+7)),"◆",IF(AND(学校マスタ!$O52&lt;&gt;"",学校マスタ!$P52&lt;&gt;"",学校マスタ!$O52&lt;J$3+7,学校マスタ!$P52&gt;=J$3),"█",IF(AND(学校マスタ!$R52&lt;&gt;"",学校マスタ!$U52&lt;&gt;"",学校マスタ!$R52&lt;J$3+7,学校マスタ!$U52&gt;=J$3),"▒","")))))</f>
        <v/>
      </c>
      <c r="K54" s="26">
        <f>IF(学校マスタ!$A52="","",IF(AND(学校マスタ!$U52&lt;&gt;"",学校マスタ!$U52&gt;=K$3,学校マスタ!$U52&lt;K$3+7),"◎",IF(OR(AND(学校マスタ!$H52&lt;&gt;"",学校マスタ!$H52&gt;=K$3,学校マスタ!$H52&lt;K$3+7),AND(学校マスタ!$J52&lt;&gt;"",学校マスタ!$J52&gt;=K$3,学校マスタ!$J52&lt;K$3+7),AND(学校マスタ!$L52&lt;&gt;"",学校マスタ!$L52&gt;=K$3,学校マスタ!$L52&lt;K$3+7)),"◆",IF(AND(学校マスタ!$O52&lt;&gt;"",学校マスタ!$P52&lt;&gt;"",学校マスタ!$O52&lt;K$3+7,学校マスタ!$P52&gt;=K$3),"█",IF(AND(学校マスタ!$R52&lt;&gt;"",学校マスタ!$U52&lt;&gt;"",学校マスタ!$R52&lt;K$3+7,学校マスタ!$U52&gt;=K$3),"▒","")))))</f>
        <v/>
      </c>
      <c r="L54" s="26">
        <f>IF(学校マスタ!$A52="","",IF(AND(学校マスタ!$U52&lt;&gt;"",学校マスタ!$U52&gt;=L$3,学校マスタ!$U52&lt;L$3+7),"◎",IF(OR(AND(学校マスタ!$H52&lt;&gt;"",学校マスタ!$H52&gt;=L$3,学校マスタ!$H52&lt;L$3+7),AND(学校マスタ!$J52&lt;&gt;"",学校マスタ!$J52&gt;=L$3,学校マスタ!$J52&lt;L$3+7),AND(学校マスタ!$L52&lt;&gt;"",学校マスタ!$L52&gt;=L$3,学校マスタ!$L52&lt;L$3+7)),"◆",IF(AND(学校マスタ!$O52&lt;&gt;"",学校マスタ!$P52&lt;&gt;"",学校マスタ!$O52&lt;L$3+7,学校マスタ!$P52&gt;=L$3),"█",IF(AND(学校マスタ!$R52&lt;&gt;"",学校マスタ!$U52&lt;&gt;"",学校マスタ!$R52&lt;L$3+7,学校マスタ!$U52&gt;=L$3),"▒","")))))</f>
        <v/>
      </c>
      <c r="M54" s="26">
        <f>IF(学校マスタ!$A52="","",IF(AND(学校マスタ!$U52&lt;&gt;"",学校マスタ!$U52&gt;=M$3,学校マスタ!$U52&lt;M$3+7),"◎",IF(OR(AND(学校マスタ!$H52&lt;&gt;"",学校マスタ!$H52&gt;=M$3,学校マスタ!$H52&lt;M$3+7),AND(学校マスタ!$J52&lt;&gt;"",学校マスタ!$J52&gt;=M$3,学校マスタ!$J52&lt;M$3+7),AND(学校マスタ!$L52&lt;&gt;"",学校マスタ!$L52&gt;=M$3,学校マスタ!$L52&lt;M$3+7)),"◆",IF(AND(学校マスタ!$O52&lt;&gt;"",学校マスタ!$P52&lt;&gt;"",学校マスタ!$O52&lt;M$3+7,学校マスタ!$P52&gt;=M$3),"█",IF(AND(学校マスタ!$R52&lt;&gt;"",学校マスタ!$U52&lt;&gt;"",学校マスタ!$R52&lt;M$3+7,学校マスタ!$U52&gt;=M$3),"▒","")))))</f>
        <v/>
      </c>
      <c r="N54" s="26">
        <f>IF(学校マスタ!$A52="","",IF(AND(学校マスタ!$U52&lt;&gt;"",学校マスタ!$U52&gt;=N$3,学校マスタ!$U52&lt;N$3+7),"◎",IF(OR(AND(学校マスタ!$H52&lt;&gt;"",学校マスタ!$H52&gt;=N$3,学校マスタ!$H52&lt;N$3+7),AND(学校マスタ!$J52&lt;&gt;"",学校マスタ!$J52&gt;=N$3,学校マスタ!$J52&lt;N$3+7),AND(学校マスタ!$L52&lt;&gt;"",学校マスタ!$L52&gt;=N$3,学校マスタ!$L52&lt;N$3+7)),"◆",IF(AND(学校マスタ!$O52&lt;&gt;"",学校マスタ!$P52&lt;&gt;"",学校マスタ!$O52&lt;N$3+7,学校マスタ!$P52&gt;=N$3),"█",IF(AND(学校マスタ!$R52&lt;&gt;"",学校マスタ!$U52&lt;&gt;"",学校マスタ!$R52&lt;N$3+7,学校マスタ!$U52&gt;=N$3),"▒","")))))</f>
        <v/>
      </c>
      <c r="O54" s="26">
        <f>IF(学校マスタ!$A52="","",IF(AND(学校マスタ!$U52&lt;&gt;"",学校マスタ!$U52&gt;=O$3,学校マスタ!$U52&lt;O$3+7),"◎",IF(OR(AND(学校マスタ!$H52&lt;&gt;"",学校マスタ!$H52&gt;=O$3,学校マスタ!$H52&lt;O$3+7),AND(学校マスタ!$J52&lt;&gt;"",学校マスタ!$J52&gt;=O$3,学校マスタ!$J52&lt;O$3+7),AND(学校マスタ!$L52&lt;&gt;"",学校マスタ!$L52&gt;=O$3,学校マスタ!$L52&lt;O$3+7)),"◆",IF(AND(学校マスタ!$O52&lt;&gt;"",学校マスタ!$P52&lt;&gt;"",学校マスタ!$O52&lt;O$3+7,学校マスタ!$P52&gt;=O$3),"█",IF(AND(学校マスタ!$R52&lt;&gt;"",学校マスタ!$U52&lt;&gt;"",学校マスタ!$R52&lt;O$3+7,学校マスタ!$U52&gt;=O$3),"▒","")))))</f>
        <v/>
      </c>
      <c r="P54" s="26">
        <f>IF(学校マスタ!$A52="","",IF(AND(学校マスタ!$U52&lt;&gt;"",学校マスタ!$U52&gt;=P$3,学校マスタ!$U52&lt;P$3+7),"◎",IF(OR(AND(学校マスタ!$H52&lt;&gt;"",学校マスタ!$H52&gt;=P$3,学校マスタ!$H52&lt;P$3+7),AND(学校マスタ!$J52&lt;&gt;"",学校マスタ!$J52&gt;=P$3,学校マスタ!$J52&lt;P$3+7),AND(学校マスタ!$L52&lt;&gt;"",学校マスタ!$L52&gt;=P$3,学校マスタ!$L52&lt;P$3+7)),"◆",IF(AND(学校マスタ!$O52&lt;&gt;"",学校マスタ!$P52&lt;&gt;"",学校マスタ!$O52&lt;P$3+7,学校マスタ!$P52&gt;=P$3),"█",IF(AND(学校マスタ!$R52&lt;&gt;"",学校マスタ!$U52&lt;&gt;"",学校マスタ!$R52&lt;P$3+7,学校マスタ!$U52&gt;=P$3),"▒","")))))</f>
        <v/>
      </c>
      <c r="Q54" s="26">
        <f>IF(学校マスタ!$A52="","",IF(AND(学校マスタ!$U52&lt;&gt;"",学校マスタ!$U52&gt;=Q$3,学校マスタ!$U52&lt;Q$3+7),"◎",IF(OR(AND(学校マスタ!$H52&lt;&gt;"",学校マスタ!$H52&gt;=Q$3,学校マスタ!$H52&lt;Q$3+7),AND(学校マスタ!$J52&lt;&gt;"",学校マスタ!$J52&gt;=Q$3,学校マスタ!$J52&lt;Q$3+7),AND(学校マスタ!$L52&lt;&gt;"",学校マスタ!$L52&gt;=Q$3,学校マスタ!$L52&lt;Q$3+7)),"◆",IF(AND(学校マスタ!$O52&lt;&gt;"",学校マスタ!$P52&lt;&gt;"",学校マスタ!$O52&lt;Q$3+7,学校マスタ!$P52&gt;=Q$3),"█",IF(AND(学校マスタ!$R52&lt;&gt;"",学校マスタ!$U52&lt;&gt;"",学校マスタ!$R52&lt;Q$3+7,学校マスタ!$U52&gt;=Q$3),"▒","")))))</f>
        <v/>
      </c>
      <c r="R54" s="26">
        <f>IF(学校マスタ!$A52="","",IF(AND(学校マスタ!$U52&lt;&gt;"",学校マスタ!$U52&gt;=R$3,学校マスタ!$U52&lt;R$3+7),"◎",IF(OR(AND(学校マスタ!$H52&lt;&gt;"",学校マスタ!$H52&gt;=R$3,学校マスタ!$H52&lt;R$3+7),AND(学校マスタ!$J52&lt;&gt;"",学校マスタ!$J52&gt;=R$3,学校マスタ!$J52&lt;R$3+7),AND(学校マスタ!$L52&lt;&gt;"",学校マスタ!$L52&gt;=R$3,学校マスタ!$L52&lt;R$3+7)),"◆",IF(AND(学校マスタ!$O52&lt;&gt;"",学校マスタ!$P52&lt;&gt;"",学校マスタ!$O52&lt;R$3+7,学校マスタ!$P52&gt;=R$3),"█",IF(AND(学校マスタ!$R52&lt;&gt;"",学校マスタ!$U52&lt;&gt;"",学校マスタ!$R52&lt;R$3+7,学校マスタ!$U52&gt;=R$3),"▒","")))))</f>
        <v/>
      </c>
      <c r="S54" s="26">
        <f>IF(学校マスタ!$A52="","",IF(AND(学校マスタ!$U52&lt;&gt;"",学校マスタ!$U52&gt;=S$3,学校マスタ!$U52&lt;S$3+7),"◎",IF(OR(AND(学校マスタ!$H52&lt;&gt;"",学校マスタ!$H52&gt;=S$3,学校マスタ!$H52&lt;S$3+7),AND(学校マスタ!$J52&lt;&gt;"",学校マスタ!$J52&gt;=S$3,学校マスタ!$J52&lt;S$3+7),AND(学校マスタ!$L52&lt;&gt;"",学校マスタ!$L52&gt;=S$3,学校マスタ!$L52&lt;S$3+7)),"◆",IF(AND(学校マスタ!$O52&lt;&gt;"",学校マスタ!$P52&lt;&gt;"",学校マスタ!$O52&lt;S$3+7,学校マスタ!$P52&gt;=S$3),"█",IF(AND(学校マスタ!$R52&lt;&gt;"",学校マスタ!$U52&lt;&gt;"",学校マスタ!$R52&lt;S$3+7,学校マスタ!$U52&gt;=S$3),"▒","")))))</f>
        <v/>
      </c>
      <c r="T54" s="26">
        <f>IF(学校マスタ!$A52="","",IF(AND(学校マスタ!$U52&lt;&gt;"",学校マスタ!$U52&gt;=T$3,学校マスタ!$U52&lt;T$3+7),"◎",IF(OR(AND(学校マスタ!$H52&lt;&gt;"",学校マスタ!$H52&gt;=T$3,学校マスタ!$H52&lt;T$3+7),AND(学校マスタ!$J52&lt;&gt;"",学校マスタ!$J52&gt;=T$3,学校マスタ!$J52&lt;T$3+7),AND(学校マスタ!$L52&lt;&gt;"",学校マスタ!$L52&gt;=T$3,学校マスタ!$L52&lt;T$3+7)),"◆",IF(AND(学校マスタ!$O52&lt;&gt;"",学校マスタ!$P52&lt;&gt;"",学校マスタ!$O52&lt;T$3+7,学校マスタ!$P52&gt;=T$3),"█",IF(AND(学校マスタ!$R52&lt;&gt;"",学校マスタ!$U52&lt;&gt;"",学校マスタ!$R52&lt;T$3+7,学校マスタ!$U52&gt;=T$3),"▒","")))))</f>
        <v/>
      </c>
      <c r="U54" s="26">
        <f>IF(学校マスタ!$A52="","",IF(AND(学校マスタ!$U52&lt;&gt;"",学校マスタ!$U52&gt;=U$3,学校マスタ!$U52&lt;U$3+7),"◎",IF(OR(AND(学校マスタ!$H52&lt;&gt;"",学校マスタ!$H52&gt;=U$3,学校マスタ!$H52&lt;U$3+7),AND(学校マスタ!$J52&lt;&gt;"",学校マスタ!$J52&gt;=U$3,学校マスタ!$J52&lt;U$3+7),AND(学校マスタ!$L52&lt;&gt;"",学校マスタ!$L52&gt;=U$3,学校マスタ!$L52&lt;U$3+7)),"◆",IF(AND(学校マスタ!$O52&lt;&gt;"",学校マスタ!$P52&lt;&gt;"",学校マスタ!$O52&lt;U$3+7,学校マスタ!$P52&gt;=U$3),"█",IF(AND(学校マスタ!$R52&lt;&gt;"",学校マスタ!$U52&lt;&gt;"",学校マスタ!$R52&lt;U$3+7,学校マスタ!$U52&gt;=U$3),"▒","")))))</f>
        <v/>
      </c>
      <c r="V54" s="26">
        <f>IF(学校マスタ!$A52="","",IF(AND(学校マスタ!$U52&lt;&gt;"",学校マスタ!$U52&gt;=V$3,学校マスタ!$U52&lt;V$3+7),"◎",IF(OR(AND(学校マスタ!$H52&lt;&gt;"",学校マスタ!$H52&gt;=V$3,学校マスタ!$H52&lt;V$3+7),AND(学校マスタ!$J52&lt;&gt;"",学校マスタ!$J52&gt;=V$3,学校マスタ!$J52&lt;V$3+7),AND(学校マスタ!$L52&lt;&gt;"",学校マスタ!$L52&gt;=V$3,学校マスタ!$L52&lt;V$3+7)),"◆",IF(AND(学校マスタ!$O52&lt;&gt;"",学校マスタ!$P52&lt;&gt;"",学校マスタ!$O52&lt;V$3+7,学校マスタ!$P52&gt;=V$3),"█",IF(AND(学校マスタ!$R52&lt;&gt;"",学校マスタ!$U52&lt;&gt;"",学校マスタ!$R52&lt;V$3+7,学校マスタ!$U52&gt;=V$3),"▒","")))))</f>
        <v/>
      </c>
      <c r="W54" s="26">
        <f>IF(学校マスタ!$A52="","",IF(AND(学校マスタ!$U52&lt;&gt;"",学校マスタ!$U52&gt;=W$3,学校マスタ!$U52&lt;W$3+7),"◎",IF(OR(AND(学校マスタ!$H52&lt;&gt;"",学校マスタ!$H52&gt;=W$3,学校マスタ!$H52&lt;W$3+7),AND(学校マスタ!$J52&lt;&gt;"",学校マスタ!$J52&gt;=W$3,学校マスタ!$J52&lt;W$3+7),AND(学校マスタ!$L52&lt;&gt;"",学校マスタ!$L52&gt;=W$3,学校マスタ!$L52&lt;W$3+7)),"◆",IF(AND(学校マスタ!$O52&lt;&gt;"",学校マスタ!$P52&lt;&gt;"",学校マスタ!$O52&lt;W$3+7,学校マスタ!$P52&gt;=W$3),"█",IF(AND(学校マスタ!$R52&lt;&gt;"",学校マスタ!$U52&lt;&gt;"",学校マスタ!$R52&lt;W$3+7,学校マスタ!$U52&gt;=W$3),"▒","")))))</f>
        <v/>
      </c>
      <c r="X54" s="26">
        <f>IF(学校マスタ!$A52="","",IF(AND(学校マスタ!$U52&lt;&gt;"",学校マスタ!$U52&gt;=X$3,学校マスタ!$U52&lt;X$3+7),"◎",IF(OR(AND(学校マスタ!$H52&lt;&gt;"",学校マスタ!$H52&gt;=X$3,学校マスタ!$H52&lt;X$3+7),AND(学校マスタ!$J52&lt;&gt;"",学校マスタ!$J52&gt;=X$3,学校マスタ!$J52&lt;X$3+7),AND(学校マスタ!$L52&lt;&gt;"",学校マスタ!$L52&gt;=X$3,学校マスタ!$L52&lt;X$3+7)),"◆",IF(AND(学校マスタ!$O52&lt;&gt;"",学校マスタ!$P52&lt;&gt;"",学校マスタ!$O52&lt;X$3+7,学校マスタ!$P52&gt;=X$3),"█",IF(AND(学校マスタ!$R52&lt;&gt;"",学校マスタ!$U52&lt;&gt;"",学校マスタ!$R52&lt;X$3+7,学校マスタ!$U52&gt;=X$3),"▒","")))))</f>
        <v/>
      </c>
      <c r="Y54" s="26">
        <f>IF(学校マスタ!$A52="","",IF(AND(学校マスタ!$U52&lt;&gt;"",学校マスタ!$U52&gt;=Y$3,学校マスタ!$U52&lt;Y$3+7),"◎",IF(OR(AND(学校マスタ!$H52&lt;&gt;"",学校マスタ!$H52&gt;=Y$3,学校マスタ!$H52&lt;Y$3+7),AND(学校マスタ!$J52&lt;&gt;"",学校マスタ!$J52&gt;=Y$3,学校マスタ!$J52&lt;Y$3+7),AND(学校マスタ!$L52&lt;&gt;"",学校マスタ!$L52&gt;=Y$3,学校マスタ!$L52&lt;Y$3+7)),"◆",IF(AND(学校マスタ!$O52&lt;&gt;"",学校マスタ!$P52&lt;&gt;"",学校マスタ!$O52&lt;Y$3+7,学校マスタ!$P52&gt;=Y$3),"█",IF(AND(学校マスタ!$R52&lt;&gt;"",学校マスタ!$U52&lt;&gt;"",学校マスタ!$R52&lt;Y$3+7,学校マスタ!$U52&gt;=Y$3),"▒","")))))</f>
        <v/>
      </c>
      <c r="Z54" s="26">
        <f>IF(学校マスタ!$A52="","",IF(AND(学校マスタ!$U52&lt;&gt;"",学校マスタ!$U52&gt;=Z$3,学校マスタ!$U52&lt;Z$3+7),"◎",IF(OR(AND(学校マスタ!$H52&lt;&gt;"",学校マスタ!$H52&gt;=Z$3,学校マスタ!$H52&lt;Z$3+7),AND(学校マスタ!$J52&lt;&gt;"",学校マスタ!$J52&gt;=Z$3,学校マスタ!$J52&lt;Z$3+7),AND(学校マスタ!$L52&lt;&gt;"",学校マスタ!$L52&gt;=Z$3,学校マスタ!$L52&lt;Z$3+7)),"◆",IF(AND(学校マスタ!$O52&lt;&gt;"",学校マスタ!$P52&lt;&gt;"",学校マスタ!$O52&lt;Z$3+7,学校マスタ!$P52&gt;=Z$3),"█",IF(AND(学校マスタ!$R52&lt;&gt;"",学校マスタ!$U52&lt;&gt;"",学校マスタ!$R52&lt;Z$3+7,学校マスタ!$U52&gt;=Z$3),"▒","")))))</f>
        <v/>
      </c>
      <c r="AA54" s="26">
        <f>IF(学校マスタ!$A52="","",IF(AND(学校マスタ!$U52&lt;&gt;"",学校マスタ!$U52&gt;=AA$3,学校マスタ!$U52&lt;AA$3+7),"◎",IF(OR(AND(学校マスタ!$H52&lt;&gt;"",学校マスタ!$H52&gt;=AA$3,学校マスタ!$H52&lt;AA$3+7),AND(学校マスタ!$J52&lt;&gt;"",学校マスタ!$J52&gt;=AA$3,学校マスタ!$J52&lt;AA$3+7),AND(学校マスタ!$L52&lt;&gt;"",学校マスタ!$L52&gt;=AA$3,学校マスタ!$L52&lt;AA$3+7)),"◆",IF(AND(学校マスタ!$O52&lt;&gt;"",学校マスタ!$P52&lt;&gt;"",学校マスタ!$O52&lt;AA$3+7,学校マスタ!$P52&gt;=AA$3),"█",IF(AND(学校マスタ!$R52&lt;&gt;"",学校マスタ!$U52&lt;&gt;"",学校マスタ!$R52&lt;AA$3+7,学校マスタ!$U52&gt;=AA$3),"▒","")))))</f>
        <v/>
      </c>
      <c r="AB54" s="26">
        <f>IF(学校マスタ!$A52="","",IF(AND(学校マスタ!$U52&lt;&gt;"",学校マスタ!$U52&gt;=AB$3,学校マスタ!$U52&lt;AB$3+7),"◎",IF(OR(AND(学校マスタ!$H52&lt;&gt;"",学校マスタ!$H52&gt;=AB$3,学校マスタ!$H52&lt;AB$3+7),AND(学校マスタ!$J52&lt;&gt;"",学校マスタ!$J52&gt;=AB$3,学校マスタ!$J52&lt;AB$3+7),AND(学校マスタ!$L52&lt;&gt;"",学校マスタ!$L52&gt;=AB$3,学校マスタ!$L52&lt;AB$3+7)),"◆",IF(AND(学校マスタ!$O52&lt;&gt;"",学校マスタ!$P52&lt;&gt;"",学校マスタ!$O52&lt;AB$3+7,学校マスタ!$P52&gt;=AB$3),"█",IF(AND(学校マスタ!$R52&lt;&gt;"",学校マスタ!$U52&lt;&gt;"",学校マスタ!$R52&lt;AB$3+7,学校マスタ!$U52&gt;=AB$3),"▒","")))))</f>
        <v/>
      </c>
    </row>
    <row r="55">
      <c r="A55" s="19">
        <f>IF(学校マスタ!$A53="","",学校マスタ!$A53)</f>
        <v/>
      </c>
      <c r="B55" s="19">
        <f>IF(学校マスタ!$A53="","",学校マスタ!$C53)</f>
        <v/>
      </c>
      <c r="C55" s="19">
        <f>IF(学校マスタ!$A53="","",学校マスタ!$X53)</f>
        <v/>
      </c>
      <c r="D55" s="25">
        <f>IF(学校マスタ!$A53="","",学校マスタ!$R53)</f>
        <v/>
      </c>
      <c r="E55" s="26">
        <f>IF(学校マスタ!$A53="","",IF(AND(学校マスタ!$U53&lt;&gt;"",学校マスタ!$U53&gt;=E$3,学校マスタ!$U53&lt;E$3+7),"◎",IF(OR(AND(学校マスタ!$H53&lt;&gt;"",学校マスタ!$H53&gt;=E$3,学校マスタ!$H53&lt;E$3+7),AND(学校マスタ!$J53&lt;&gt;"",学校マスタ!$J53&gt;=E$3,学校マスタ!$J53&lt;E$3+7),AND(学校マスタ!$L53&lt;&gt;"",学校マスタ!$L53&gt;=E$3,学校マスタ!$L53&lt;E$3+7)),"◆",IF(AND(学校マスタ!$O53&lt;&gt;"",学校マスタ!$P53&lt;&gt;"",学校マスタ!$O53&lt;E$3+7,学校マスタ!$P53&gt;=E$3),"█",IF(AND(学校マスタ!$R53&lt;&gt;"",学校マスタ!$U53&lt;&gt;"",学校マスタ!$R53&lt;E$3+7,学校マスタ!$U53&gt;=E$3),"▒","")))))</f>
        <v/>
      </c>
      <c r="F55" s="26">
        <f>IF(学校マスタ!$A53="","",IF(AND(学校マスタ!$U53&lt;&gt;"",学校マスタ!$U53&gt;=F$3,学校マスタ!$U53&lt;F$3+7),"◎",IF(OR(AND(学校マスタ!$H53&lt;&gt;"",学校マスタ!$H53&gt;=F$3,学校マスタ!$H53&lt;F$3+7),AND(学校マスタ!$J53&lt;&gt;"",学校マスタ!$J53&gt;=F$3,学校マスタ!$J53&lt;F$3+7),AND(学校マスタ!$L53&lt;&gt;"",学校マスタ!$L53&gt;=F$3,学校マスタ!$L53&lt;F$3+7)),"◆",IF(AND(学校マスタ!$O53&lt;&gt;"",学校マスタ!$P53&lt;&gt;"",学校マスタ!$O53&lt;F$3+7,学校マスタ!$P53&gt;=F$3),"█",IF(AND(学校マスタ!$R53&lt;&gt;"",学校マスタ!$U53&lt;&gt;"",学校マスタ!$R53&lt;F$3+7,学校マスタ!$U53&gt;=F$3),"▒","")))))</f>
        <v/>
      </c>
      <c r="G55" s="26">
        <f>IF(学校マスタ!$A53="","",IF(AND(学校マスタ!$U53&lt;&gt;"",学校マスタ!$U53&gt;=G$3,学校マスタ!$U53&lt;G$3+7),"◎",IF(OR(AND(学校マスタ!$H53&lt;&gt;"",学校マスタ!$H53&gt;=G$3,学校マスタ!$H53&lt;G$3+7),AND(学校マスタ!$J53&lt;&gt;"",学校マスタ!$J53&gt;=G$3,学校マスタ!$J53&lt;G$3+7),AND(学校マスタ!$L53&lt;&gt;"",学校マスタ!$L53&gt;=G$3,学校マスタ!$L53&lt;G$3+7)),"◆",IF(AND(学校マスタ!$O53&lt;&gt;"",学校マスタ!$P53&lt;&gt;"",学校マスタ!$O53&lt;G$3+7,学校マスタ!$P53&gt;=G$3),"█",IF(AND(学校マスタ!$R53&lt;&gt;"",学校マスタ!$U53&lt;&gt;"",学校マスタ!$R53&lt;G$3+7,学校マスタ!$U53&gt;=G$3),"▒","")))))</f>
        <v/>
      </c>
      <c r="H55" s="26">
        <f>IF(学校マスタ!$A53="","",IF(AND(学校マスタ!$U53&lt;&gt;"",学校マスタ!$U53&gt;=H$3,学校マスタ!$U53&lt;H$3+7),"◎",IF(OR(AND(学校マスタ!$H53&lt;&gt;"",学校マスタ!$H53&gt;=H$3,学校マスタ!$H53&lt;H$3+7),AND(学校マスタ!$J53&lt;&gt;"",学校マスタ!$J53&gt;=H$3,学校マスタ!$J53&lt;H$3+7),AND(学校マスタ!$L53&lt;&gt;"",学校マスタ!$L53&gt;=H$3,学校マスタ!$L53&lt;H$3+7)),"◆",IF(AND(学校マスタ!$O53&lt;&gt;"",学校マスタ!$P53&lt;&gt;"",学校マスタ!$O53&lt;H$3+7,学校マスタ!$P53&gt;=H$3),"█",IF(AND(学校マスタ!$R53&lt;&gt;"",学校マスタ!$U53&lt;&gt;"",学校マスタ!$R53&lt;H$3+7,学校マスタ!$U53&gt;=H$3),"▒","")))))</f>
        <v/>
      </c>
      <c r="I55" s="26">
        <f>IF(学校マスタ!$A53="","",IF(AND(学校マスタ!$U53&lt;&gt;"",学校マスタ!$U53&gt;=I$3,学校マスタ!$U53&lt;I$3+7),"◎",IF(OR(AND(学校マスタ!$H53&lt;&gt;"",学校マスタ!$H53&gt;=I$3,学校マスタ!$H53&lt;I$3+7),AND(学校マスタ!$J53&lt;&gt;"",学校マスタ!$J53&gt;=I$3,学校マスタ!$J53&lt;I$3+7),AND(学校マスタ!$L53&lt;&gt;"",学校マスタ!$L53&gt;=I$3,学校マスタ!$L53&lt;I$3+7)),"◆",IF(AND(学校マスタ!$O53&lt;&gt;"",学校マスタ!$P53&lt;&gt;"",学校マスタ!$O53&lt;I$3+7,学校マスタ!$P53&gt;=I$3),"█",IF(AND(学校マスタ!$R53&lt;&gt;"",学校マスタ!$U53&lt;&gt;"",学校マスタ!$R53&lt;I$3+7,学校マスタ!$U53&gt;=I$3),"▒","")))))</f>
        <v/>
      </c>
      <c r="J55" s="26">
        <f>IF(学校マスタ!$A53="","",IF(AND(学校マスタ!$U53&lt;&gt;"",学校マスタ!$U53&gt;=J$3,学校マスタ!$U53&lt;J$3+7),"◎",IF(OR(AND(学校マスタ!$H53&lt;&gt;"",学校マスタ!$H53&gt;=J$3,学校マスタ!$H53&lt;J$3+7),AND(学校マスタ!$J53&lt;&gt;"",学校マスタ!$J53&gt;=J$3,学校マスタ!$J53&lt;J$3+7),AND(学校マスタ!$L53&lt;&gt;"",学校マスタ!$L53&gt;=J$3,学校マスタ!$L53&lt;J$3+7)),"◆",IF(AND(学校マスタ!$O53&lt;&gt;"",学校マスタ!$P53&lt;&gt;"",学校マスタ!$O53&lt;J$3+7,学校マスタ!$P53&gt;=J$3),"█",IF(AND(学校マスタ!$R53&lt;&gt;"",学校マスタ!$U53&lt;&gt;"",学校マスタ!$R53&lt;J$3+7,学校マスタ!$U53&gt;=J$3),"▒","")))))</f>
        <v/>
      </c>
      <c r="K55" s="26">
        <f>IF(学校マスタ!$A53="","",IF(AND(学校マスタ!$U53&lt;&gt;"",学校マスタ!$U53&gt;=K$3,学校マスタ!$U53&lt;K$3+7),"◎",IF(OR(AND(学校マスタ!$H53&lt;&gt;"",学校マスタ!$H53&gt;=K$3,学校マスタ!$H53&lt;K$3+7),AND(学校マスタ!$J53&lt;&gt;"",学校マスタ!$J53&gt;=K$3,学校マスタ!$J53&lt;K$3+7),AND(学校マスタ!$L53&lt;&gt;"",学校マスタ!$L53&gt;=K$3,学校マスタ!$L53&lt;K$3+7)),"◆",IF(AND(学校マスタ!$O53&lt;&gt;"",学校マスタ!$P53&lt;&gt;"",学校マスタ!$O53&lt;K$3+7,学校マスタ!$P53&gt;=K$3),"█",IF(AND(学校マスタ!$R53&lt;&gt;"",学校マスタ!$U53&lt;&gt;"",学校マスタ!$R53&lt;K$3+7,学校マスタ!$U53&gt;=K$3),"▒","")))))</f>
        <v/>
      </c>
      <c r="L55" s="26">
        <f>IF(学校マスタ!$A53="","",IF(AND(学校マスタ!$U53&lt;&gt;"",学校マスタ!$U53&gt;=L$3,学校マスタ!$U53&lt;L$3+7),"◎",IF(OR(AND(学校マスタ!$H53&lt;&gt;"",学校マスタ!$H53&gt;=L$3,学校マスタ!$H53&lt;L$3+7),AND(学校マスタ!$J53&lt;&gt;"",学校マスタ!$J53&gt;=L$3,学校マスタ!$J53&lt;L$3+7),AND(学校マスタ!$L53&lt;&gt;"",学校マスタ!$L53&gt;=L$3,学校マスタ!$L53&lt;L$3+7)),"◆",IF(AND(学校マスタ!$O53&lt;&gt;"",学校マスタ!$P53&lt;&gt;"",学校マスタ!$O53&lt;L$3+7,学校マスタ!$P53&gt;=L$3),"█",IF(AND(学校マスタ!$R53&lt;&gt;"",学校マスタ!$U53&lt;&gt;"",学校マスタ!$R53&lt;L$3+7,学校マスタ!$U53&gt;=L$3),"▒","")))))</f>
        <v/>
      </c>
      <c r="M55" s="26">
        <f>IF(学校マスタ!$A53="","",IF(AND(学校マスタ!$U53&lt;&gt;"",学校マスタ!$U53&gt;=M$3,学校マスタ!$U53&lt;M$3+7),"◎",IF(OR(AND(学校マスタ!$H53&lt;&gt;"",学校マスタ!$H53&gt;=M$3,学校マスタ!$H53&lt;M$3+7),AND(学校マスタ!$J53&lt;&gt;"",学校マスタ!$J53&gt;=M$3,学校マスタ!$J53&lt;M$3+7),AND(学校マスタ!$L53&lt;&gt;"",学校マスタ!$L53&gt;=M$3,学校マスタ!$L53&lt;M$3+7)),"◆",IF(AND(学校マスタ!$O53&lt;&gt;"",学校マスタ!$P53&lt;&gt;"",学校マスタ!$O53&lt;M$3+7,学校マスタ!$P53&gt;=M$3),"█",IF(AND(学校マスタ!$R53&lt;&gt;"",学校マスタ!$U53&lt;&gt;"",学校マスタ!$R53&lt;M$3+7,学校マスタ!$U53&gt;=M$3),"▒","")))))</f>
        <v/>
      </c>
      <c r="N55" s="26">
        <f>IF(学校マスタ!$A53="","",IF(AND(学校マスタ!$U53&lt;&gt;"",学校マスタ!$U53&gt;=N$3,学校マスタ!$U53&lt;N$3+7),"◎",IF(OR(AND(学校マスタ!$H53&lt;&gt;"",学校マスタ!$H53&gt;=N$3,学校マスタ!$H53&lt;N$3+7),AND(学校マスタ!$J53&lt;&gt;"",学校マスタ!$J53&gt;=N$3,学校マスタ!$J53&lt;N$3+7),AND(学校マスタ!$L53&lt;&gt;"",学校マスタ!$L53&gt;=N$3,学校マスタ!$L53&lt;N$3+7)),"◆",IF(AND(学校マスタ!$O53&lt;&gt;"",学校マスタ!$P53&lt;&gt;"",学校マスタ!$O53&lt;N$3+7,学校マスタ!$P53&gt;=N$3),"█",IF(AND(学校マスタ!$R53&lt;&gt;"",学校マスタ!$U53&lt;&gt;"",学校マスタ!$R53&lt;N$3+7,学校マスタ!$U53&gt;=N$3),"▒","")))))</f>
        <v/>
      </c>
      <c r="O55" s="26">
        <f>IF(学校マスタ!$A53="","",IF(AND(学校マスタ!$U53&lt;&gt;"",学校マスタ!$U53&gt;=O$3,学校マスタ!$U53&lt;O$3+7),"◎",IF(OR(AND(学校マスタ!$H53&lt;&gt;"",学校マスタ!$H53&gt;=O$3,学校マスタ!$H53&lt;O$3+7),AND(学校マスタ!$J53&lt;&gt;"",学校マスタ!$J53&gt;=O$3,学校マスタ!$J53&lt;O$3+7),AND(学校マスタ!$L53&lt;&gt;"",学校マスタ!$L53&gt;=O$3,学校マスタ!$L53&lt;O$3+7)),"◆",IF(AND(学校マスタ!$O53&lt;&gt;"",学校マスタ!$P53&lt;&gt;"",学校マスタ!$O53&lt;O$3+7,学校マスタ!$P53&gt;=O$3),"█",IF(AND(学校マスタ!$R53&lt;&gt;"",学校マスタ!$U53&lt;&gt;"",学校マスタ!$R53&lt;O$3+7,学校マスタ!$U53&gt;=O$3),"▒","")))))</f>
        <v/>
      </c>
      <c r="P55" s="26">
        <f>IF(学校マスタ!$A53="","",IF(AND(学校マスタ!$U53&lt;&gt;"",学校マスタ!$U53&gt;=P$3,学校マスタ!$U53&lt;P$3+7),"◎",IF(OR(AND(学校マスタ!$H53&lt;&gt;"",学校マスタ!$H53&gt;=P$3,学校マスタ!$H53&lt;P$3+7),AND(学校マスタ!$J53&lt;&gt;"",学校マスタ!$J53&gt;=P$3,学校マスタ!$J53&lt;P$3+7),AND(学校マスタ!$L53&lt;&gt;"",学校マスタ!$L53&gt;=P$3,学校マスタ!$L53&lt;P$3+7)),"◆",IF(AND(学校マスタ!$O53&lt;&gt;"",学校マスタ!$P53&lt;&gt;"",学校マスタ!$O53&lt;P$3+7,学校マスタ!$P53&gt;=P$3),"█",IF(AND(学校マスタ!$R53&lt;&gt;"",学校マスタ!$U53&lt;&gt;"",学校マスタ!$R53&lt;P$3+7,学校マスタ!$U53&gt;=P$3),"▒","")))))</f>
        <v/>
      </c>
      <c r="Q55" s="26">
        <f>IF(学校マスタ!$A53="","",IF(AND(学校マスタ!$U53&lt;&gt;"",学校マスタ!$U53&gt;=Q$3,学校マスタ!$U53&lt;Q$3+7),"◎",IF(OR(AND(学校マスタ!$H53&lt;&gt;"",学校マスタ!$H53&gt;=Q$3,学校マスタ!$H53&lt;Q$3+7),AND(学校マスタ!$J53&lt;&gt;"",学校マスタ!$J53&gt;=Q$3,学校マスタ!$J53&lt;Q$3+7),AND(学校マスタ!$L53&lt;&gt;"",学校マスタ!$L53&gt;=Q$3,学校マスタ!$L53&lt;Q$3+7)),"◆",IF(AND(学校マスタ!$O53&lt;&gt;"",学校マスタ!$P53&lt;&gt;"",学校マスタ!$O53&lt;Q$3+7,学校マスタ!$P53&gt;=Q$3),"█",IF(AND(学校マスタ!$R53&lt;&gt;"",学校マスタ!$U53&lt;&gt;"",学校マスタ!$R53&lt;Q$3+7,学校マスタ!$U53&gt;=Q$3),"▒","")))))</f>
        <v/>
      </c>
      <c r="R55" s="26">
        <f>IF(学校マスタ!$A53="","",IF(AND(学校マスタ!$U53&lt;&gt;"",学校マスタ!$U53&gt;=R$3,学校マスタ!$U53&lt;R$3+7),"◎",IF(OR(AND(学校マスタ!$H53&lt;&gt;"",学校マスタ!$H53&gt;=R$3,学校マスタ!$H53&lt;R$3+7),AND(学校マスタ!$J53&lt;&gt;"",学校マスタ!$J53&gt;=R$3,学校マスタ!$J53&lt;R$3+7),AND(学校マスタ!$L53&lt;&gt;"",学校マスタ!$L53&gt;=R$3,学校マスタ!$L53&lt;R$3+7)),"◆",IF(AND(学校マスタ!$O53&lt;&gt;"",学校マスタ!$P53&lt;&gt;"",学校マスタ!$O53&lt;R$3+7,学校マスタ!$P53&gt;=R$3),"█",IF(AND(学校マスタ!$R53&lt;&gt;"",学校マスタ!$U53&lt;&gt;"",学校マスタ!$R53&lt;R$3+7,学校マスタ!$U53&gt;=R$3),"▒","")))))</f>
        <v/>
      </c>
      <c r="S55" s="26">
        <f>IF(学校マスタ!$A53="","",IF(AND(学校マスタ!$U53&lt;&gt;"",学校マスタ!$U53&gt;=S$3,学校マスタ!$U53&lt;S$3+7),"◎",IF(OR(AND(学校マスタ!$H53&lt;&gt;"",学校マスタ!$H53&gt;=S$3,学校マスタ!$H53&lt;S$3+7),AND(学校マスタ!$J53&lt;&gt;"",学校マスタ!$J53&gt;=S$3,学校マスタ!$J53&lt;S$3+7),AND(学校マスタ!$L53&lt;&gt;"",学校マスタ!$L53&gt;=S$3,学校マスタ!$L53&lt;S$3+7)),"◆",IF(AND(学校マスタ!$O53&lt;&gt;"",学校マスタ!$P53&lt;&gt;"",学校マスタ!$O53&lt;S$3+7,学校マスタ!$P53&gt;=S$3),"█",IF(AND(学校マスタ!$R53&lt;&gt;"",学校マスタ!$U53&lt;&gt;"",学校マスタ!$R53&lt;S$3+7,学校マスタ!$U53&gt;=S$3),"▒","")))))</f>
        <v/>
      </c>
      <c r="T55" s="26">
        <f>IF(学校マスタ!$A53="","",IF(AND(学校マスタ!$U53&lt;&gt;"",学校マスタ!$U53&gt;=T$3,学校マスタ!$U53&lt;T$3+7),"◎",IF(OR(AND(学校マスタ!$H53&lt;&gt;"",学校マスタ!$H53&gt;=T$3,学校マスタ!$H53&lt;T$3+7),AND(学校マスタ!$J53&lt;&gt;"",学校マスタ!$J53&gt;=T$3,学校マスタ!$J53&lt;T$3+7),AND(学校マスタ!$L53&lt;&gt;"",学校マスタ!$L53&gt;=T$3,学校マスタ!$L53&lt;T$3+7)),"◆",IF(AND(学校マスタ!$O53&lt;&gt;"",学校マスタ!$P53&lt;&gt;"",学校マスタ!$O53&lt;T$3+7,学校マスタ!$P53&gt;=T$3),"█",IF(AND(学校マスタ!$R53&lt;&gt;"",学校マスタ!$U53&lt;&gt;"",学校マスタ!$R53&lt;T$3+7,学校マスタ!$U53&gt;=T$3),"▒","")))))</f>
        <v/>
      </c>
      <c r="U55" s="26">
        <f>IF(学校マスタ!$A53="","",IF(AND(学校マスタ!$U53&lt;&gt;"",学校マスタ!$U53&gt;=U$3,学校マスタ!$U53&lt;U$3+7),"◎",IF(OR(AND(学校マスタ!$H53&lt;&gt;"",学校マスタ!$H53&gt;=U$3,学校マスタ!$H53&lt;U$3+7),AND(学校マスタ!$J53&lt;&gt;"",学校マスタ!$J53&gt;=U$3,学校マスタ!$J53&lt;U$3+7),AND(学校マスタ!$L53&lt;&gt;"",学校マスタ!$L53&gt;=U$3,学校マスタ!$L53&lt;U$3+7)),"◆",IF(AND(学校マスタ!$O53&lt;&gt;"",学校マスタ!$P53&lt;&gt;"",学校マスタ!$O53&lt;U$3+7,学校マスタ!$P53&gt;=U$3),"█",IF(AND(学校マスタ!$R53&lt;&gt;"",学校マスタ!$U53&lt;&gt;"",学校マスタ!$R53&lt;U$3+7,学校マスタ!$U53&gt;=U$3),"▒","")))))</f>
        <v/>
      </c>
      <c r="V55" s="26">
        <f>IF(学校マスタ!$A53="","",IF(AND(学校マスタ!$U53&lt;&gt;"",学校マスタ!$U53&gt;=V$3,学校マスタ!$U53&lt;V$3+7),"◎",IF(OR(AND(学校マスタ!$H53&lt;&gt;"",学校マスタ!$H53&gt;=V$3,学校マスタ!$H53&lt;V$3+7),AND(学校マスタ!$J53&lt;&gt;"",学校マスタ!$J53&gt;=V$3,学校マスタ!$J53&lt;V$3+7),AND(学校マスタ!$L53&lt;&gt;"",学校マスタ!$L53&gt;=V$3,学校マスタ!$L53&lt;V$3+7)),"◆",IF(AND(学校マスタ!$O53&lt;&gt;"",学校マスタ!$P53&lt;&gt;"",学校マスタ!$O53&lt;V$3+7,学校マスタ!$P53&gt;=V$3),"█",IF(AND(学校マスタ!$R53&lt;&gt;"",学校マスタ!$U53&lt;&gt;"",学校マスタ!$R53&lt;V$3+7,学校マスタ!$U53&gt;=V$3),"▒","")))))</f>
        <v/>
      </c>
      <c r="W55" s="26">
        <f>IF(学校マスタ!$A53="","",IF(AND(学校マスタ!$U53&lt;&gt;"",学校マスタ!$U53&gt;=W$3,学校マスタ!$U53&lt;W$3+7),"◎",IF(OR(AND(学校マスタ!$H53&lt;&gt;"",学校マスタ!$H53&gt;=W$3,学校マスタ!$H53&lt;W$3+7),AND(学校マスタ!$J53&lt;&gt;"",学校マスタ!$J53&gt;=W$3,学校マスタ!$J53&lt;W$3+7),AND(学校マスタ!$L53&lt;&gt;"",学校マスタ!$L53&gt;=W$3,学校マスタ!$L53&lt;W$3+7)),"◆",IF(AND(学校マスタ!$O53&lt;&gt;"",学校マスタ!$P53&lt;&gt;"",学校マスタ!$O53&lt;W$3+7,学校マスタ!$P53&gt;=W$3),"█",IF(AND(学校マスタ!$R53&lt;&gt;"",学校マスタ!$U53&lt;&gt;"",学校マスタ!$R53&lt;W$3+7,学校マスタ!$U53&gt;=W$3),"▒","")))))</f>
        <v/>
      </c>
      <c r="X55" s="26">
        <f>IF(学校マスタ!$A53="","",IF(AND(学校マスタ!$U53&lt;&gt;"",学校マスタ!$U53&gt;=X$3,学校マスタ!$U53&lt;X$3+7),"◎",IF(OR(AND(学校マスタ!$H53&lt;&gt;"",学校マスタ!$H53&gt;=X$3,学校マスタ!$H53&lt;X$3+7),AND(学校マスタ!$J53&lt;&gt;"",学校マスタ!$J53&gt;=X$3,学校マスタ!$J53&lt;X$3+7),AND(学校マスタ!$L53&lt;&gt;"",学校マスタ!$L53&gt;=X$3,学校マスタ!$L53&lt;X$3+7)),"◆",IF(AND(学校マスタ!$O53&lt;&gt;"",学校マスタ!$P53&lt;&gt;"",学校マスタ!$O53&lt;X$3+7,学校マスタ!$P53&gt;=X$3),"█",IF(AND(学校マスタ!$R53&lt;&gt;"",学校マスタ!$U53&lt;&gt;"",学校マスタ!$R53&lt;X$3+7,学校マスタ!$U53&gt;=X$3),"▒","")))))</f>
        <v/>
      </c>
      <c r="Y55" s="26">
        <f>IF(学校マスタ!$A53="","",IF(AND(学校マスタ!$U53&lt;&gt;"",学校マスタ!$U53&gt;=Y$3,学校マスタ!$U53&lt;Y$3+7),"◎",IF(OR(AND(学校マスタ!$H53&lt;&gt;"",学校マスタ!$H53&gt;=Y$3,学校マスタ!$H53&lt;Y$3+7),AND(学校マスタ!$J53&lt;&gt;"",学校マスタ!$J53&gt;=Y$3,学校マスタ!$J53&lt;Y$3+7),AND(学校マスタ!$L53&lt;&gt;"",学校マスタ!$L53&gt;=Y$3,学校マスタ!$L53&lt;Y$3+7)),"◆",IF(AND(学校マスタ!$O53&lt;&gt;"",学校マスタ!$P53&lt;&gt;"",学校マスタ!$O53&lt;Y$3+7,学校マスタ!$P53&gt;=Y$3),"█",IF(AND(学校マスタ!$R53&lt;&gt;"",学校マスタ!$U53&lt;&gt;"",学校マスタ!$R53&lt;Y$3+7,学校マスタ!$U53&gt;=Y$3),"▒","")))))</f>
        <v/>
      </c>
      <c r="Z55" s="26">
        <f>IF(学校マスタ!$A53="","",IF(AND(学校マスタ!$U53&lt;&gt;"",学校マスタ!$U53&gt;=Z$3,学校マスタ!$U53&lt;Z$3+7),"◎",IF(OR(AND(学校マスタ!$H53&lt;&gt;"",学校マスタ!$H53&gt;=Z$3,学校マスタ!$H53&lt;Z$3+7),AND(学校マスタ!$J53&lt;&gt;"",学校マスタ!$J53&gt;=Z$3,学校マスタ!$J53&lt;Z$3+7),AND(学校マスタ!$L53&lt;&gt;"",学校マスタ!$L53&gt;=Z$3,学校マスタ!$L53&lt;Z$3+7)),"◆",IF(AND(学校マスタ!$O53&lt;&gt;"",学校マスタ!$P53&lt;&gt;"",学校マスタ!$O53&lt;Z$3+7,学校マスタ!$P53&gt;=Z$3),"█",IF(AND(学校マスタ!$R53&lt;&gt;"",学校マスタ!$U53&lt;&gt;"",学校マスタ!$R53&lt;Z$3+7,学校マスタ!$U53&gt;=Z$3),"▒","")))))</f>
        <v/>
      </c>
      <c r="AA55" s="26">
        <f>IF(学校マスタ!$A53="","",IF(AND(学校マスタ!$U53&lt;&gt;"",学校マスタ!$U53&gt;=AA$3,学校マスタ!$U53&lt;AA$3+7),"◎",IF(OR(AND(学校マスタ!$H53&lt;&gt;"",学校マスタ!$H53&gt;=AA$3,学校マスタ!$H53&lt;AA$3+7),AND(学校マスタ!$J53&lt;&gt;"",学校マスタ!$J53&gt;=AA$3,学校マスタ!$J53&lt;AA$3+7),AND(学校マスタ!$L53&lt;&gt;"",学校マスタ!$L53&gt;=AA$3,学校マスタ!$L53&lt;AA$3+7)),"◆",IF(AND(学校マスタ!$O53&lt;&gt;"",学校マスタ!$P53&lt;&gt;"",学校マスタ!$O53&lt;AA$3+7,学校マスタ!$P53&gt;=AA$3),"█",IF(AND(学校マスタ!$R53&lt;&gt;"",学校マスタ!$U53&lt;&gt;"",学校マスタ!$R53&lt;AA$3+7,学校マスタ!$U53&gt;=AA$3),"▒","")))))</f>
        <v/>
      </c>
      <c r="AB55" s="26">
        <f>IF(学校マスタ!$A53="","",IF(AND(学校マスタ!$U53&lt;&gt;"",学校マスタ!$U53&gt;=AB$3,学校マスタ!$U53&lt;AB$3+7),"◎",IF(OR(AND(学校マスタ!$H53&lt;&gt;"",学校マスタ!$H53&gt;=AB$3,学校マスタ!$H53&lt;AB$3+7),AND(学校マスタ!$J53&lt;&gt;"",学校マスタ!$J53&gt;=AB$3,学校マスタ!$J53&lt;AB$3+7),AND(学校マスタ!$L53&lt;&gt;"",学校マスタ!$L53&gt;=AB$3,学校マスタ!$L53&lt;AB$3+7)),"◆",IF(AND(学校マスタ!$O53&lt;&gt;"",学校マスタ!$P53&lt;&gt;"",学校マスタ!$O53&lt;AB$3+7,学校マスタ!$P53&gt;=AB$3),"█",IF(AND(学校マスタ!$R53&lt;&gt;"",学校マスタ!$U53&lt;&gt;"",学校マスタ!$R53&lt;AB$3+7,学校マスタ!$U53&gt;=AB$3),"▒","")))))</f>
        <v/>
      </c>
    </row>
    <row r="56">
      <c r="A56" s="19">
        <f>IF(学校マスタ!$A54="","",学校マスタ!$A54)</f>
        <v/>
      </c>
      <c r="B56" s="19">
        <f>IF(学校マスタ!$A54="","",学校マスタ!$C54)</f>
        <v/>
      </c>
      <c r="C56" s="19">
        <f>IF(学校マスタ!$A54="","",学校マスタ!$X54)</f>
        <v/>
      </c>
      <c r="D56" s="25">
        <f>IF(学校マスタ!$A54="","",学校マスタ!$R54)</f>
        <v/>
      </c>
      <c r="E56" s="26">
        <f>IF(学校マスタ!$A54="","",IF(AND(学校マスタ!$U54&lt;&gt;"",学校マスタ!$U54&gt;=E$3,学校マスタ!$U54&lt;E$3+7),"◎",IF(OR(AND(学校マスタ!$H54&lt;&gt;"",学校マスタ!$H54&gt;=E$3,学校マスタ!$H54&lt;E$3+7),AND(学校マスタ!$J54&lt;&gt;"",学校マスタ!$J54&gt;=E$3,学校マスタ!$J54&lt;E$3+7),AND(学校マスタ!$L54&lt;&gt;"",学校マスタ!$L54&gt;=E$3,学校マスタ!$L54&lt;E$3+7)),"◆",IF(AND(学校マスタ!$O54&lt;&gt;"",学校マスタ!$P54&lt;&gt;"",学校マスタ!$O54&lt;E$3+7,学校マスタ!$P54&gt;=E$3),"█",IF(AND(学校マスタ!$R54&lt;&gt;"",学校マスタ!$U54&lt;&gt;"",学校マスタ!$R54&lt;E$3+7,学校マスタ!$U54&gt;=E$3),"▒","")))))</f>
        <v/>
      </c>
      <c r="F56" s="26">
        <f>IF(学校マスタ!$A54="","",IF(AND(学校マスタ!$U54&lt;&gt;"",学校マスタ!$U54&gt;=F$3,学校マスタ!$U54&lt;F$3+7),"◎",IF(OR(AND(学校マスタ!$H54&lt;&gt;"",学校マスタ!$H54&gt;=F$3,学校マスタ!$H54&lt;F$3+7),AND(学校マスタ!$J54&lt;&gt;"",学校マスタ!$J54&gt;=F$3,学校マスタ!$J54&lt;F$3+7),AND(学校マスタ!$L54&lt;&gt;"",学校マスタ!$L54&gt;=F$3,学校マスタ!$L54&lt;F$3+7)),"◆",IF(AND(学校マスタ!$O54&lt;&gt;"",学校マスタ!$P54&lt;&gt;"",学校マスタ!$O54&lt;F$3+7,学校マスタ!$P54&gt;=F$3),"█",IF(AND(学校マスタ!$R54&lt;&gt;"",学校マスタ!$U54&lt;&gt;"",学校マスタ!$R54&lt;F$3+7,学校マスタ!$U54&gt;=F$3),"▒","")))))</f>
        <v/>
      </c>
      <c r="G56" s="26">
        <f>IF(学校マスタ!$A54="","",IF(AND(学校マスタ!$U54&lt;&gt;"",学校マスタ!$U54&gt;=G$3,学校マスタ!$U54&lt;G$3+7),"◎",IF(OR(AND(学校マスタ!$H54&lt;&gt;"",学校マスタ!$H54&gt;=G$3,学校マスタ!$H54&lt;G$3+7),AND(学校マスタ!$J54&lt;&gt;"",学校マスタ!$J54&gt;=G$3,学校マスタ!$J54&lt;G$3+7),AND(学校マスタ!$L54&lt;&gt;"",学校マスタ!$L54&gt;=G$3,学校マスタ!$L54&lt;G$3+7)),"◆",IF(AND(学校マスタ!$O54&lt;&gt;"",学校マスタ!$P54&lt;&gt;"",学校マスタ!$O54&lt;G$3+7,学校マスタ!$P54&gt;=G$3),"█",IF(AND(学校マスタ!$R54&lt;&gt;"",学校マスタ!$U54&lt;&gt;"",学校マスタ!$R54&lt;G$3+7,学校マスタ!$U54&gt;=G$3),"▒","")))))</f>
        <v/>
      </c>
      <c r="H56" s="26">
        <f>IF(学校マスタ!$A54="","",IF(AND(学校マスタ!$U54&lt;&gt;"",学校マスタ!$U54&gt;=H$3,学校マスタ!$U54&lt;H$3+7),"◎",IF(OR(AND(学校マスタ!$H54&lt;&gt;"",学校マスタ!$H54&gt;=H$3,学校マスタ!$H54&lt;H$3+7),AND(学校マスタ!$J54&lt;&gt;"",学校マスタ!$J54&gt;=H$3,学校マスタ!$J54&lt;H$3+7),AND(学校マスタ!$L54&lt;&gt;"",学校マスタ!$L54&gt;=H$3,学校マスタ!$L54&lt;H$3+7)),"◆",IF(AND(学校マスタ!$O54&lt;&gt;"",学校マスタ!$P54&lt;&gt;"",学校マスタ!$O54&lt;H$3+7,学校マスタ!$P54&gt;=H$3),"█",IF(AND(学校マスタ!$R54&lt;&gt;"",学校マスタ!$U54&lt;&gt;"",学校マスタ!$R54&lt;H$3+7,学校マスタ!$U54&gt;=H$3),"▒","")))))</f>
        <v/>
      </c>
      <c r="I56" s="26">
        <f>IF(学校マスタ!$A54="","",IF(AND(学校マスタ!$U54&lt;&gt;"",学校マスタ!$U54&gt;=I$3,学校マスタ!$U54&lt;I$3+7),"◎",IF(OR(AND(学校マスタ!$H54&lt;&gt;"",学校マスタ!$H54&gt;=I$3,学校マスタ!$H54&lt;I$3+7),AND(学校マスタ!$J54&lt;&gt;"",学校マスタ!$J54&gt;=I$3,学校マスタ!$J54&lt;I$3+7),AND(学校マスタ!$L54&lt;&gt;"",学校マスタ!$L54&gt;=I$3,学校マスタ!$L54&lt;I$3+7)),"◆",IF(AND(学校マスタ!$O54&lt;&gt;"",学校マスタ!$P54&lt;&gt;"",学校マスタ!$O54&lt;I$3+7,学校マスタ!$P54&gt;=I$3),"█",IF(AND(学校マスタ!$R54&lt;&gt;"",学校マスタ!$U54&lt;&gt;"",学校マスタ!$R54&lt;I$3+7,学校マスタ!$U54&gt;=I$3),"▒","")))))</f>
        <v/>
      </c>
      <c r="J56" s="26">
        <f>IF(学校マスタ!$A54="","",IF(AND(学校マスタ!$U54&lt;&gt;"",学校マスタ!$U54&gt;=J$3,学校マスタ!$U54&lt;J$3+7),"◎",IF(OR(AND(学校マスタ!$H54&lt;&gt;"",学校マスタ!$H54&gt;=J$3,学校マスタ!$H54&lt;J$3+7),AND(学校マスタ!$J54&lt;&gt;"",学校マスタ!$J54&gt;=J$3,学校マスタ!$J54&lt;J$3+7),AND(学校マスタ!$L54&lt;&gt;"",学校マスタ!$L54&gt;=J$3,学校マスタ!$L54&lt;J$3+7)),"◆",IF(AND(学校マスタ!$O54&lt;&gt;"",学校マスタ!$P54&lt;&gt;"",学校マスタ!$O54&lt;J$3+7,学校マスタ!$P54&gt;=J$3),"█",IF(AND(学校マスタ!$R54&lt;&gt;"",学校マスタ!$U54&lt;&gt;"",学校マスタ!$R54&lt;J$3+7,学校マスタ!$U54&gt;=J$3),"▒","")))))</f>
        <v/>
      </c>
      <c r="K56" s="26">
        <f>IF(学校マスタ!$A54="","",IF(AND(学校マスタ!$U54&lt;&gt;"",学校マスタ!$U54&gt;=K$3,学校マスタ!$U54&lt;K$3+7),"◎",IF(OR(AND(学校マスタ!$H54&lt;&gt;"",学校マスタ!$H54&gt;=K$3,学校マスタ!$H54&lt;K$3+7),AND(学校マスタ!$J54&lt;&gt;"",学校マスタ!$J54&gt;=K$3,学校マスタ!$J54&lt;K$3+7),AND(学校マスタ!$L54&lt;&gt;"",学校マスタ!$L54&gt;=K$3,学校マスタ!$L54&lt;K$3+7)),"◆",IF(AND(学校マスタ!$O54&lt;&gt;"",学校マスタ!$P54&lt;&gt;"",学校マスタ!$O54&lt;K$3+7,学校マスタ!$P54&gt;=K$3),"█",IF(AND(学校マスタ!$R54&lt;&gt;"",学校マスタ!$U54&lt;&gt;"",学校マスタ!$R54&lt;K$3+7,学校マスタ!$U54&gt;=K$3),"▒","")))))</f>
        <v/>
      </c>
      <c r="L56" s="26">
        <f>IF(学校マスタ!$A54="","",IF(AND(学校マスタ!$U54&lt;&gt;"",学校マスタ!$U54&gt;=L$3,学校マスタ!$U54&lt;L$3+7),"◎",IF(OR(AND(学校マスタ!$H54&lt;&gt;"",学校マスタ!$H54&gt;=L$3,学校マスタ!$H54&lt;L$3+7),AND(学校マスタ!$J54&lt;&gt;"",学校マスタ!$J54&gt;=L$3,学校マスタ!$J54&lt;L$3+7),AND(学校マスタ!$L54&lt;&gt;"",学校マスタ!$L54&gt;=L$3,学校マスタ!$L54&lt;L$3+7)),"◆",IF(AND(学校マスタ!$O54&lt;&gt;"",学校マスタ!$P54&lt;&gt;"",学校マスタ!$O54&lt;L$3+7,学校マスタ!$P54&gt;=L$3),"█",IF(AND(学校マスタ!$R54&lt;&gt;"",学校マスタ!$U54&lt;&gt;"",学校マスタ!$R54&lt;L$3+7,学校マスタ!$U54&gt;=L$3),"▒","")))))</f>
        <v/>
      </c>
      <c r="M56" s="26">
        <f>IF(学校マスタ!$A54="","",IF(AND(学校マスタ!$U54&lt;&gt;"",学校マスタ!$U54&gt;=M$3,学校マスタ!$U54&lt;M$3+7),"◎",IF(OR(AND(学校マスタ!$H54&lt;&gt;"",学校マスタ!$H54&gt;=M$3,学校マスタ!$H54&lt;M$3+7),AND(学校マスタ!$J54&lt;&gt;"",学校マスタ!$J54&gt;=M$3,学校マスタ!$J54&lt;M$3+7),AND(学校マスタ!$L54&lt;&gt;"",学校マスタ!$L54&gt;=M$3,学校マスタ!$L54&lt;M$3+7)),"◆",IF(AND(学校マスタ!$O54&lt;&gt;"",学校マスタ!$P54&lt;&gt;"",学校マスタ!$O54&lt;M$3+7,学校マスタ!$P54&gt;=M$3),"█",IF(AND(学校マスタ!$R54&lt;&gt;"",学校マスタ!$U54&lt;&gt;"",学校マスタ!$R54&lt;M$3+7,学校マスタ!$U54&gt;=M$3),"▒","")))))</f>
        <v/>
      </c>
      <c r="N56" s="26">
        <f>IF(学校マスタ!$A54="","",IF(AND(学校マスタ!$U54&lt;&gt;"",学校マスタ!$U54&gt;=N$3,学校マスタ!$U54&lt;N$3+7),"◎",IF(OR(AND(学校マスタ!$H54&lt;&gt;"",学校マスタ!$H54&gt;=N$3,学校マスタ!$H54&lt;N$3+7),AND(学校マスタ!$J54&lt;&gt;"",学校マスタ!$J54&gt;=N$3,学校マスタ!$J54&lt;N$3+7),AND(学校マスタ!$L54&lt;&gt;"",学校マスタ!$L54&gt;=N$3,学校マスタ!$L54&lt;N$3+7)),"◆",IF(AND(学校マスタ!$O54&lt;&gt;"",学校マスタ!$P54&lt;&gt;"",学校マスタ!$O54&lt;N$3+7,学校マスタ!$P54&gt;=N$3),"█",IF(AND(学校マスタ!$R54&lt;&gt;"",学校マスタ!$U54&lt;&gt;"",学校マスタ!$R54&lt;N$3+7,学校マスタ!$U54&gt;=N$3),"▒","")))))</f>
        <v/>
      </c>
      <c r="O56" s="26">
        <f>IF(学校マスタ!$A54="","",IF(AND(学校マスタ!$U54&lt;&gt;"",学校マスタ!$U54&gt;=O$3,学校マスタ!$U54&lt;O$3+7),"◎",IF(OR(AND(学校マスタ!$H54&lt;&gt;"",学校マスタ!$H54&gt;=O$3,学校マスタ!$H54&lt;O$3+7),AND(学校マスタ!$J54&lt;&gt;"",学校マスタ!$J54&gt;=O$3,学校マスタ!$J54&lt;O$3+7),AND(学校マスタ!$L54&lt;&gt;"",学校マスタ!$L54&gt;=O$3,学校マスタ!$L54&lt;O$3+7)),"◆",IF(AND(学校マスタ!$O54&lt;&gt;"",学校マスタ!$P54&lt;&gt;"",学校マスタ!$O54&lt;O$3+7,学校マスタ!$P54&gt;=O$3),"█",IF(AND(学校マスタ!$R54&lt;&gt;"",学校マスタ!$U54&lt;&gt;"",学校マスタ!$R54&lt;O$3+7,学校マスタ!$U54&gt;=O$3),"▒","")))))</f>
        <v/>
      </c>
      <c r="P56" s="26">
        <f>IF(学校マスタ!$A54="","",IF(AND(学校マスタ!$U54&lt;&gt;"",学校マスタ!$U54&gt;=P$3,学校マスタ!$U54&lt;P$3+7),"◎",IF(OR(AND(学校マスタ!$H54&lt;&gt;"",学校マスタ!$H54&gt;=P$3,学校マスタ!$H54&lt;P$3+7),AND(学校マスタ!$J54&lt;&gt;"",学校マスタ!$J54&gt;=P$3,学校マスタ!$J54&lt;P$3+7),AND(学校マスタ!$L54&lt;&gt;"",学校マスタ!$L54&gt;=P$3,学校マスタ!$L54&lt;P$3+7)),"◆",IF(AND(学校マスタ!$O54&lt;&gt;"",学校マスタ!$P54&lt;&gt;"",学校マスタ!$O54&lt;P$3+7,学校マスタ!$P54&gt;=P$3),"█",IF(AND(学校マスタ!$R54&lt;&gt;"",学校マスタ!$U54&lt;&gt;"",学校マスタ!$R54&lt;P$3+7,学校マスタ!$U54&gt;=P$3),"▒","")))))</f>
        <v/>
      </c>
      <c r="Q56" s="26">
        <f>IF(学校マスタ!$A54="","",IF(AND(学校マスタ!$U54&lt;&gt;"",学校マスタ!$U54&gt;=Q$3,学校マスタ!$U54&lt;Q$3+7),"◎",IF(OR(AND(学校マスタ!$H54&lt;&gt;"",学校マスタ!$H54&gt;=Q$3,学校マスタ!$H54&lt;Q$3+7),AND(学校マスタ!$J54&lt;&gt;"",学校マスタ!$J54&gt;=Q$3,学校マスタ!$J54&lt;Q$3+7),AND(学校マスタ!$L54&lt;&gt;"",学校マスタ!$L54&gt;=Q$3,学校マスタ!$L54&lt;Q$3+7)),"◆",IF(AND(学校マスタ!$O54&lt;&gt;"",学校マスタ!$P54&lt;&gt;"",学校マスタ!$O54&lt;Q$3+7,学校マスタ!$P54&gt;=Q$3),"█",IF(AND(学校マスタ!$R54&lt;&gt;"",学校マスタ!$U54&lt;&gt;"",学校マスタ!$R54&lt;Q$3+7,学校マスタ!$U54&gt;=Q$3),"▒","")))))</f>
        <v/>
      </c>
      <c r="R56" s="26">
        <f>IF(学校マスタ!$A54="","",IF(AND(学校マスタ!$U54&lt;&gt;"",学校マスタ!$U54&gt;=R$3,学校マスタ!$U54&lt;R$3+7),"◎",IF(OR(AND(学校マスタ!$H54&lt;&gt;"",学校マスタ!$H54&gt;=R$3,学校マスタ!$H54&lt;R$3+7),AND(学校マスタ!$J54&lt;&gt;"",学校マスタ!$J54&gt;=R$3,学校マスタ!$J54&lt;R$3+7),AND(学校マスタ!$L54&lt;&gt;"",学校マスタ!$L54&gt;=R$3,学校マスタ!$L54&lt;R$3+7)),"◆",IF(AND(学校マスタ!$O54&lt;&gt;"",学校マスタ!$P54&lt;&gt;"",学校マスタ!$O54&lt;R$3+7,学校マスタ!$P54&gt;=R$3),"█",IF(AND(学校マスタ!$R54&lt;&gt;"",学校マスタ!$U54&lt;&gt;"",学校マスタ!$R54&lt;R$3+7,学校マスタ!$U54&gt;=R$3),"▒","")))))</f>
        <v/>
      </c>
      <c r="S56" s="26">
        <f>IF(学校マスタ!$A54="","",IF(AND(学校マスタ!$U54&lt;&gt;"",学校マスタ!$U54&gt;=S$3,学校マスタ!$U54&lt;S$3+7),"◎",IF(OR(AND(学校マスタ!$H54&lt;&gt;"",学校マスタ!$H54&gt;=S$3,学校マスタ!$H54&lt;S$3+7),AND(学校マスタ!$J54&lt;&gt;"",学校マスタ!$J54&gt;=S$3,学校マスタ!$J54&lt;S$3+7),AND(学校マスタ!$L54&lt;&gt;"",学校マスタ!$L54&gt;=S$3,学校マスタ!$L54&lt;S$3+7)),"◆",IF(AND(学校マスタ!$O54&lt;&gt;"",学校マスタ!$P54&lt;&gt;"",学校マスタ!$O54&lt;S$3+7,学校マスタ!$P54&gt;=S$3),"█",IF(AND(学校マスタ!$R54&lt;&gt;"",学校マスタ!$U54&lt;&gt;"",学校マスタ!$R54&lt;S$3+7,学校マスタ!$U54&gt;=S$3),"▒","")))))</f>
        <v/>
      </c>
      <c r="T56" s="26">
        <f>IF(学校マスタ!$A54="","",IF(AND(学校マスタ!$U54&lt;&gt;"",学校マスタ!$U54&gt;=T$3,学校マスタ!$U54&lt;T$3+7),"◎",IF(OR(AND(学校マスタ!$H54&lt;&gt;"",学校マスタ!$H54&gt;=T$3,学校マスタ!$H54&lt;T$3+7),AND(学校マスタ!$J54&lt;&gt;"",学校マスタ!$J54&gt;=T$3,学校マスタ!$J54&lt;T$3+7),AND(学校マスタ!$L54&lt;&gt;"",学校マスタ!$L54&gt;=T$3,学校マスタ!$L54&lt;T$3+7)),"◆",IF(AND(学校マスタ!$O54&lt;&gt;"",学校マスタ!$P54&lt;&gt;"",学校マスタ!$O54&lt;T$3+7,学校マスタ!$P54&gt;=T$3),"█",IF(AND(学校マスタ!$R54&lt;&gt;"",学校マスタ!$U54&lt;&gt;"",学校マスタ!$R54&lt;T$3+7,学校マスタ!$U54&gt;=T$3),"▒","")))))</f>
        <v/>
      </c>
      <c r="U56" s="26">
        <f>IF(学校マスタ!$A54="","",IF(AND(学校マスタ!$U54&lt;&gt;"",学校マスタ!$U54&gt;=U$3,学校マスタ!$U54&lt;U$3+7),"◎",IF(OR(AND(学校マスタ!$H54&lt;&gt;"",学校マスタ!$H54&gt;=U$3,学校マスタ!$H54&lt;U$3+7),AND(学校マスタ!$J54&lt;&gt;"",学校マスタ!$J54&gt;=U$3,学校マスタ!$J54&lt;U$3+7),AND(学校マスタ!$L54&lt;&gt;"",学校マスタ!$L54&gt;=U$3,学校マスタ!$L54&lt;U$3+7)),"◆",IF(AND(学校マスタ!$O54&lt;&gt;"",学校マスタ!$P54&lt;&gt;"",学校マスタ!$O54&lt;U$3+7,学校マスタ!$P54&gt;=U$3),"█",IF(AND(学校マスタ!$R54&lt;&gt;"",学校マスタ!$U54&lt;&gt;"",学校マスタ!$R54&lt;U$3+7,学校マスタ!$U54&gt;=U$3),"▒","")))))</f>
        <v/>
      </c>
      <c r="V56" s="26">
        <f>IF(学校マスタ!$A54="","",IF(AND(学校マスタ!$U54&lt;&gt;"",学校マスタ!$U54&gt;=V$3,学校マスタ!$U54&lt;V$3+7),"◎",IF(OR(AND(学校マスタ!$H54&lt;&gt;"",学校マスタ!$H54&gt;=V$3,学校マスタ!$H54&lt;V$3+7),AND(学校マスタ!$J54&lt;&gt;"",学校マスタ!$J54&gt;=V$3,学校マスタ!$J54&lt;V$3+7),AND(学校マスタ!$L54&lt;&gt;"",学校マスタ!$L54&gt;=V$3,学校マスタ!$L54&lt;V$3+7)),"◆",IF(AND(学校マスタ!$O54&lt;&gt;"",学校マスタ!$P54&lt;&gt;"",学校マスタ!$O54&lt;V$3+7,学校マスタ!$P54&gt;=V$3),"█",IF(AND(学校マスタ!$R54&lt;&gt;"",学校マスタ!$U54&lt;&gt;"",学校マスタ!$R54&lt;V$3+7,学校マスタ!$U54&gt;=V$3),"▒","")))))</f>
        <v/>
      </c>
      <c r="W56" s="26">
        <f>IF(学校マスタ!$A54="","",IF(AND(学校マスタ!$U54&lt;&gt;"",学校マスタ!$U54&gt;=W$3,学校マスタ!$U54&lt;W$3+7),"◎",IF(OR(AND(学校マスタ!$H54&lt;&gt;"",学校マスタ!$H54&gt;=W$3,学校マスタ!$H54&lt;W$3+7),AND(学校マスタ!$J54&lt;&gt;"",学校マスタ!$J54&gt;=W$3,学校マスタ!$J54&lt;W$3+7),AND(学校マスタ!$L54&lt;&gt;"",学校マスタ!$L54&gt;=W$3,学校マスタ!$L54&lt;W$3+7)),"◆",IF(AND(学校マスタ!$O54&lt;&gt;"",学校マスタ!$P54&lt;&gt;"",学校マスタ!$O54&lt;W$3+7,学校マスタ!$P54&gt;=W$3),"█",IF(AND(学校マスタ!$R54&lt;&gt;"",学校マスタ!$U54&lt;&gt;"",学校マスタ!$R54&lt;W$3+7,学校マスタ!$U54&gt;=W$3),"▒","")))))</f>
        <v/>
      </c>
      <c r="X56" s="26">
        <f>IF(学校マスタ!$A54="","",IF(AND(学校マスタ!$U54&lt;&gt;"",学校マスタ!$U54&gt;=X$3,学校マスタ!$U54&lt;X$3+7),"◎",IF(OR(AND(学校マスタ!$H54&lt;&gt;"",学校マスタ!$H54&gt;=X$3,学校マスタ!$H54&lt;X$3+7),AND(学校マスタ!$J54&lt;&gt;"",学校マスタ!$J54&gt;=X$3,学校マスタ!$J54&lt;X$3+7),AND(学校マスタ!$L54&lt;&gt;"",学校マスタ!$L54&gt;=X$3,学校マスタ!$L54&lt;X$3+7)),"◆",IF(AND(学校マスタ!$O54&lt;&gt;"",学校マスタ!$P54&lt;&gt;"",学校マスタ!$O54&lt;X$3+7,学校マスタ!$P54&gt;=X$3),"█",IF(AND(学校マスタ!$R54&lt;&gt;"",学校マスタ!$U54&lt;&gt;"",学校マスタ!$R54&lt;X$3+7,学校マスタ!$U54&gt;=X$3),"▒","")))))</f>
        <v/>
      </c>
      <c r="Y56" s="26">
        <f>IF(学校マスタ!$A54="","",IF(AND(学校マスタ!$U54&lt;&gt;"",学校マスタ!$U54&gt;=Y$3,学校マスタ!$U54&lt;Y$3+7),"◎",IF(OR(AND(学校マスタ!$H54&lt;&gt;"",学校マスタ!$H54&gt;=Y$3,学校マスタ!$H54&lt;Y$3+7),AND(学校マスタ!$J54&lt;&gt;"",学校マスタ!$J54&gt;=Y$3,学校マスタ!$J54&lt;Y$3+7),AND(学校マスタ!$L54&lt;&gt;"",学校マスタ!$L54&gt;=Y$3,学校マスタ!$L54&lt;Y$3+7)),"◆",IF(AND(学校マスタ!$O54&lt;&gt;"",学校マスタ!$P54&lt;&gt;"",学校マスタ!$O54&lt;Y$3+7,学校マスタ!$P54&gt;=Y$3),"█",IF(AND(学校マスタ!$R54&lt;&gt;"",学校マスタ!$U54&lt;&gt;"",学校マスタ!$R54&lt;Y$3+7,学校マスタ!$U54&gt;=Y$3),"▒","")))))</f>
        <v/>
      </c>
      <c r="Z56" s="26">
        <f>IF(学校マスタ!$A54="","",IF(AND(学校マスタ!$U54&lt;&gt;"",学校マスタ!$U54&gt;=Z$3,学校マスタ!$U54&lt;Z$3+7),"◎",IF(OR(AND(学校マスタ!$H54&lt;&gt;"",学校マスタ!$H54&gt;=Z$3,学校マスタ!$H54&lt;Z$3+7),AND(学校マスタ!$J54&lt;&gt;"",学校マスタ!$J54&gt;=Z$3,学校マスタ!$J54&lt;Z$3+7),AND(学校マスタ!$L54&lt;&gt;"",学校マスタ!$L54&gt;=Z$3,学校マスタ!$L54&lt;Z$3+7)),"◆",IF(AND(学校マスタ!$O54&lt;&gt;"",学校マスタ!$P54&lt;&gt;"",学校マスタ!$O54&lt;Z$3+7,学校マスタ!$P54&gt;=Z$3),"█",IF(AND(学校マスタ!$R54&lt;&gt;"",学校マスタ!$U54&lt;&gt;"",学校マスタ!$R54&lt;Z$3+7,学校マスタ!$U54&gt;=Z$3),"▒","")))))</f>
        <v/>
      </c>
      <c r="AA56" s="26">
        <f>IF(学校マスタ!$A54="","",IF(AND(学校マスタ!$U54&lt;&gt;"",学校マスタ!$U54&gt;=AA$3,学校マスタ!$U54&lt;AA$3+7),"◎",IF(OR(AND(学校マスタ!$H54&lt;&gt;"",学校マスタ!$H54&gt;=AA$3,学校マスタ!$H54&lt;AA$3+7),AND(学校マスタ!$J54&lt;&gt;"",学校マスタ!$J54&gt;=AA$3,学校マスタ!$J54&lt;AA$3+7),AND(学校マスタ!$L54&lt;&gt;"",学校マスタ!$L54&gt;=AA$3,学校マスタ!$L54&lt;AA$3+7)),"◆",IF(AND(学校マスタ!$O54&lt;&gt;"",学校マスタ!$P54&lt;&gt;"",学校マスタ!$O54&lt;AA$3+7,学校マスタ!$P54&gt;=AA$3),"█",IF(AND(学校マスタ!$R54&lt;&gt;"",学校マスタ!$U54&lt;&gt;"",学校マスタ!$R54&lt;AA$3+7,学校マスタ!$U54&gt;=AA$3),"▒","")))))</f>
        <v/>
      </c>
      <c r="AB56" s="26">
        <f>IF(学校マスタ!$A54="","",IF(AND(学校マスタ!$U54&lt;&gt;"",学校マスタ!$U54&gt;=AB$3,学校マスタ!$U54&lt;AB$3+7),"◎",IF(OR(AND(学校マスタ!$H54&lt;&gt;"",学校マスタ!$H54&gt;=AB$3,学校マスタ!$H54&lt;AB$3+7),AND(学校マスタ!$J54&lt;&gt;"",学校マスタ!$J54&gt;=AB$3,学校マスタ!$J54&lt;AB$3+7),AND(学校マスタ!$L54&lt;&gt;"",学校マスタ!$L54&gt;=AB$3,学校マスタ!$L54&lt;AB$3+7)),"◆",IF(AND(学校マスタ!$O54&lt;&gt;"",学校マスタ!$P54&lt;&gt;"",学校マスタ!$O54&lt;AB$3+7,学校マスタ!$P54&gt;=AB$3),"█",IF(AND(学校マスタ!$R54&lt;&gt;"",学校マスタ!$U54&lt;&gt;"",学校マスタ!$R54&lt;AB$3+7,学校マスタ!$U54&gt;=AB$3),"▒","")))))</f>
        <v/>
      </c>
    </row>
    <row r="57">
      <c r="A57" s="19">
        <f>IF(学校マスタ!$A55="","",学校マスタ!$A55)</f>
        <v/>
      </c>
      <c r="B57" s="19">
        <f>IF(学校マスタ!$A55="","",学校マスタ!$C55)</f>
        <v/>
      </c>
      <c r="C57" s="19">
        <f>IF(学校マスタ!$A55="","",学校マスタ!$X55)</f>
        <v/>
      </c>
      <c r="D57" s="25">
        <f>IF(学校マスタ!$A55="","",学校マスタ!$R55)</f>
        <v/>
      </c>
      <c r="E57" s="26">
        <f>IF(学校マスタ!$A55="","",IF(AND(学校マスタ!$U55&lt;&gt;"",学校マスタ!$U55&gt;=E$3,学校マスタ!$U55&lt;E$3+7),"◎",IF(OR(AND(学校マスタ!$H55&lt;&gt;"",学校マスタ!$H55&gt;=E$3,学校マスタ!$H55&lt;E$3+7),AND(学校マスタ!$J55&lt;&gt;"",学校マスタ!$J55&gt;=E$3,学校マスタ!$J55&lt;E$3+7),AND(学校マスタ!$L55&lt;&gt;"",学校マスタ!$L55&gt;=E$3,学校マスタ!$L55&lt;E$3+7)),"◆",IF(AND(学校マスタ!$O55&lt;&gt;"",学校マスタ!$P55&lt;&gt;"",学校マスタ!$O55&lt;E$3+7,学校マスタ!$P55&gt;=E$3),"█",IF(AND(学校マスタ!$R55&lt;&gt;"",学校マスタ!$U55&lt;&gt;"",学校マスタ!$R55&lt;E$3+7,学校マスタ!$U55&gt;=E$3),"▒","")))))</f>
        <v/>
      </c>
      <c r="F57" s="26">
        <f>IF(学校マスタ!$A55="","",IF(AND(学校マスタ!$U55&lt;&gt;"",学校マスタ!$U55&gt;=F$3,学校マスタ!$U55&lt;F$3+7),"◎",IF(OR(AND(学校マスタ!$H55&lt;&gt;"",学校マスタ!$H55&gt;=F$3,学校マスタ!$H55&lt;F$3+7),AND(学校マスタ!$J55&lt;&gt;"",学校マスタ!$J55&gt;=F$3,学校マスタ!$J55&lt;F$3+7),AND(学校マスタ!$L55&lt;&gt;"",学校マスタ!$L55&gt;=F$3,学校マスタ!$L55&lt;F$3+7)),"◆",IF(AND(学校マスタ!$O55&lt;&gt;"",学校マスタ!$P55&lt;&gt;"",学校マスタ!$O55&lt;F$3+7,学校マスタ!$P55&gt;=F$3),"█",IF(AND(学校マスタ!$R55&lt;&gt;"",学校マスタ!$U55&lt;&gt;"",学校マスタ!$R55&lt;F$3+7,学校マスタ!$U55&gt;=F$3),"▒","")))))</f>
        <v/>
      </c>
      <c r="G57" s="26">
        <f>IF(学校マスタ!$A55="","",IF(AND(学校マスタ!$U55&lt;&gt;"",学校マスタ!$U55&gt;=G$3,学校マスタ!$U55&lt;G$3+7),"◎",IF(OR(AND(学校マスタ!$H55&lt;&gt;"",学校マスタ!$H55&gt;=G$3,学校マスタ!$H55&lt;G$3+7),AND(学校マスタ!$J55&lt;&gt;"",学校マスタ!$J55&gt;=G$3,学校マスタ!$J55&lt;G$3+7),AND(学校マスタ!$L55&lt;&gt;"",学校マスタ!$L55&gt;=G$3,学校マスタ!$L55&lt;G$3+7)),"◆",IF(AND(学校マスタ!$O55&lt;&gt;"",学校マスタ!$P55&lt;&gt;"",学校マスタ!$O55&lt;G$3+7,学校マスタ!$P55&gt;=G$3),"█",IF(AND(学校マスタ!$R55&lt;&gt;"",学校マスタ!$U55&lt;&gt;"",学校マスタ!$R55&lt;G$3+7,学校マスタ!$U55&gt;=G$3),"▒","")))))</f>
        <v/>
      </c>
      <c r="H57" s="26">
        <f>IF(学校マスタ!$A55="","",IF(AND(学校マスタ!$U55&lt;&gt;"",学校マスタ!$U55&gt;=H$3,学校マスタ!$U55&lt;H$3+7),"◎",IF(OR(AND(学校マスタ!$H55&lt;&gt;"",学校マスタ!$H55&gt;=H$3,学校マスタ!$H55&lt;H$3+7),AND(学校マスタ!$J55&lt;&gt;"",学校マスタ!$J55&gt;=H$3,学校マスタ!$J55&lt;H$3+7),AND(学校マスタ!$L55&lt;&gt;"",学校マスタ!$L55&gt;=H$3,学校マスタ!$L55&lt;H$3+7)),"◆",IF(AND(学校マスタ!$O55&lt;&gt;"",学校マスタ!$P55&lt;&gt;"",学校マスタ!$O55&lt;H$3+7,学校マスタ!$P55&gt;=H$3),"█",IF(AND(学校マスタ!$R55&lt;&gt;"",学校マスタ!$U55&lt;&gt;"",学校マスタ!$R55&lt;H$3+7,学校マスタ!$U55&gt;=H$3),"▒","")))))</f>
        <v/>
      </c>
      <c r="I57" s="26">
        <f>IF(学校マスタ!$A55="","",IF(AND(学校マスタ!$U55&lt;&gt;"",学校マスタ!$U55&gt;=I$3,学校マスタ!$U55&lt;I$3+7),"◎",IF(OR(AND(学校マスタ!$H55&lt;&gt;"",学校マスタ!$H55&gt;=I$3,学校マスタ!$H55&lt;I$3+7),AND(学校マスタ!$J55&lt;&gt;"",学校マスタ!$J55&gt;=I$3,学校マスタ!$J55&lt;I$3+7),AND(学校マスタ!$L55&lt;&gt;"",学校マスタ!$L55&gt;=I$3,学校マスタ!$L55&lt;I$3+7)),"◆",IF(AND(学校マスタ!$O55&lt;&gt;"",学校マスタ!$P55&lt;&gt;"",学校マスタ!$O55&lt;I$3+7,学校マスタ!$P55&gt;=I$3),"█",IF(AND(学校マスタ!$R55&lt;&gt;"",学校マスタ!$U55&lt;&gt;"",学校マスタ!$R55&lt;I$3+7,学校マスタ!$U55&gt;=I$3),"▒","")))))</f>
        <v/>
      </c>
      <c r="J57" s="26">
        <f>IF(学校マスタ!$A55="","",IF(AND(学校マスタ!$U55&lt;&gt;"",学校マスタ!$U55&gt;=J$3,学校マスタ!$U55&lt;J$3+7),"◎",IF(OR(AND(学校マスタ!$H55&lt;&gt;"",学校マスタ!$H55&gt;=J$3,学校マスタ!$H55&lt;J$3+7),AND(学校マスタ!$J55&lt;&gt;"",学校マスタ!$J55&gt;=J$3,学校マスタ!$J55&lt;J$3+7),AND(学校マスタ!$L55&lt;&gt;"",学校マスタ!$L55&gt;=J$3,学校マスタ!$L55&lt;J$3+7)),"◆",IF(AND(学校マスタ!$O55&lt;&gt;"",学校マスタ!$P55&lt;&gt;"",学校マスタ!$O55&lt;J$3+7,学校マスタ!$P55&gt;=J$3),"█",IF(AND(学校マスタ!$R55&lt;&gt;"",学校マスタ!$U55&lt;&gt;"",学校マスタ!$R55&lt;J$3+7,学校マスタ!$U55&gt;=J$3),"▒","")))))</f>
        <v/>
      </c>
      <c r="K57" s="26">
        <f>IF(学校マスタ!$A55="","",IF(AND(学校マスタ!$U55&lt;&gt;"",学校マスタ!$U55&gt;=K$3,学校マスタ!$U55&lt;K$3+7),"◎",IF(OR(AND(学校マスタ!$H55&lt;&gt;"",学校マスタ!$H55&gt;=K$3,学校マスタ!$H55&lt;K$3+7),AND(学校マスタ!$J55&lt;&gt;"",学校マスタ!$J55&gt;=K$3,学校マスタ!$J55&lt;K$3+7),AND(学校マスタ!$L55&lt;&gt;"",学校マスタ!$L55&gt;=K$3,学校マスタ!$L55&lt;K$3+7)),"◆",IF(AND(学校マスタ!$O55&lt;&gt;"",学校マスタ!$P55&lt;&gt;"",学校マスタ!$O55&lt;K$3+7,学校マスタ!$P55&gt;=K$3),"█",IF(AND(学校マスタ!$R55&lt;&gt;"",学校マスタ!$U55&lt;&gt;"",学校マスタ!$R55&lt;K$3+7,学校マスタ!$U55&gt;=K$3),"▒","")))))</f>
        <v/>
      </c>
      <c r="L57" s="26">
        <f>IF(学校マスタ!$A55="","",IF(AND(学校マスタ!$U55&lt;&gt;"",学校マスタ!$U55&gt;=L$3,学校マスタ!$U55&lt;L$3+7),"◎",IF(OR(AND(学校マスタ!$H55&lt;&gt;"",学校マスタ!$H55&gt;=L$3,学校マスタ!$H55&lt;L$3+7),AND(学校マスタ!$J55&lt;&gt;"",学校マスタ!$J55&gt;=L$3,学校マスタ!$J55&lt;L$3+7),AND(学校マスタ!$L55&lt;&gt;"",学校マスタ!$L55&gt;=L$3,学校マスタ!$L55&lt;L$3+7)),"◆",IF(AND(学校マスタ!$O55&lt;&gt;"",学校マスタ!$P55&lt;&gt;"",学校マスタ!$O55&lt;L$3+7,学校マスタ!$P55&gt;=L$3),"█",IF(AND(学校マスタ!$R55&lt;&gt;"",学校マスタ!$U55&lt;&gt;"",学校マスタ!$R55&lt;L$3+7,学校マスタ!$U55&gt;=L$3),"▒","")))))</f>
        <v/>
      </c>
      <c r="M57" s="26">
        <f>IF(学校マスタ!$A55="","",IF(AND(学校マスタ!$U55&lt;&gt;"",学校マスタ!$U55&gt;=M$3,学校マスタ!$U55&lt;M$3+7),"◎",IF(OR(AND(学校マスタ!$H55&lt;&gt;"",学校マスタ!$H55&gt;=M$3,学校マスタ!$H55&lt;M$3+7),AND(学校マスタ!$J55&lt;&gt;"",学校マスタ!$J55&gt;=M$3,学校マスタ!$J55&lt;M$3+7),AND(学校マスタ!$L55&lt;&gt;"",学校マスタ!$L55&gt;=M$3,学校マスタ!$L55&lt;M$3+7)),"◆",IF(AND(学校マスタ!$O55&lt;&gt;"",学校マスタ!$P55&lt;&gt;"",学校マスタ!$O55&lt;M$3+7,学校マスタ!$P55&gt;=M$3),"█",IF(AND(学校マスタ!$R55&lt;&gt;"",学校マスタ!$U55&lt;&gt;"",学校マスタ!$R55&lt;M$3+7,学校マスタ!$U55&gt;=M$3),"▒","")))))</f>
        <v/>
      </c>
      <c r="N57" s="26">
        <f>IF(学校マスタ!$A55="","",IF(AND(学校マスタ!$U55&lt;&gt;"",学校マスタ!$U55&gt;=N$3,学校マスタ!$U55&lt;N$3+7),"◎",IF(OR(AND(学校マスタ!$H55&lt;&gt;"",学校マスタ!$H55&gt;=N$3,学校マスタ!$H55&lt;N$3+7),AND(学校マスタ!$J55&lt;&gt;"",学校マスタ!$J55&gt;=N$3,学校マスタ!$J55&lt;N$3+7),AND(学校マスタ!$L55&lt;&gt;"",学校マスタ!$L55&gt;=N$3,学校マスタ!$L55&lt;N$3+7)),"◆",IF(AND(学校マスタ!$O55&lt;&gt;"",学校マスタ!$P55&lt;&gt;"",学校マスタ!$O55&lt;N$3+7,学校マスタ!$P55&gt;=N$3),"█",IF(AND(学校マスタ!$R55&lt;&gt;"",学校マスタ!$U55&lt;&gt;"",学校マスタ!$R55&lt;N$3+7,学校マスタ!$U55&gt;=N$3),"▒","")))))</f>
        <v/>
      </c>
      <c r="O57" s="26">
        <f>IF(学校マスタ!$A55="","",IF(AND(学校マスタ!$U55&lt;&gt;"",学校マスタ!$U55&gt;=O$3,学校マスタ!$U55&lt;O$3+7),"◎",IF(OR(AND(学校マスタ!$H55&lt;&gt;"",学校マスタ!$H55&gt;=O$3,学校マスタ!$H55&lt;O$3+7),AND(学校マスタ!$J55&lt;&gt;"",学校マスタ!$J55&gt;=O$3,学校マスタ!$J55&lt;O$3+7),AND(学校マスタ!$L55&lt;&gt;"",学校マスタ!$L55&gt;=O$3,学校マスタ!$L55&lt;O$3+7)),"◆",IF(AND(学校マスタ!$O55&lt;&gt;"",学校マスタ!$P55&lt;&gt;"",学校マスタ!$O55&lt;O$3+7,学校マスタ!$P55&gt;=O$3),"█",IF(AND(学校マスタ!$R55&lt;&gt;"",学校マスタ!$U55&lt;&gt;"",学校マスタ!$R55&lt;O$3+7,学校マスタ!$U55&gt;=O$3),"▒","")))))</f>
        <v/>
      </c>
      <c r="P57" s="26">
        <f>IF(学校マスタ!$A55="","",IF(AND(学校マスタ!$U55&lt;&gt;"",学校マスタ!$U55&gt;=P$3,学校マスタ!$U55&lt;P$3+7),"◎",IF(OR(AND(学校マスタ!$H55&lt;&gt;"",学校マスタ!$H55&gt;=P$3,学校マスタ!$H55&lt;P$3+7),AND(学校マスタ!$J55&lt;&gt;"",学校マスタ!$J55&gt;=P$3,学校マスタ!$J55&lt;P$3+7),AND(学校マスタ!$L55&lt;&gt;"",学校マスタ!$L55&gt;=P$3,学校マスタ!$L55&lt;P$3+7)),"◆",IF(AND(学校マスタ!$O55&lt;&gt;"",学校マスタ!$P55&lt;&gt;"",学校マスタ!$O55&lt;P$3+7,学校マスタ!$P55&gt;=P$3),"█",IF(AND(学校マスタ!$R55&lt;&gt;"",学校マスタ!$U55&lt;&gt;"",学校マスタ!$R55&lt;P$3+7,学校マスタ!$U55&gt;=P$3),"▒","")))))</f>
        <v/>
      </c>
      <c r="Q57" s="26">
        <f>IF(学校マスタ!$A55="","",IF(AND(学校マスタ!$U55&lt;&gt;"",学校マスタ!$U55&gt;=Q$3,学校マスタ!$U55&lt;Q$3+7),"◎",IF(OR(AND(学校マスタ!$H55&lt;&gt;"",学校マスタ!$H55&gt;=Q$3,学校マスタ!$H55&lt;Q$3+7),AND(学校マスタ!$J55&lt;&gt;"",学校マスタ!$J55&gt;=Q$3,学校マスタ!$J55&lt;Q$3+7),AND(学校マスタ!$L55&lt;&gt;"",学校マスタ!$L55&gt;=Q$3,学校マスタ!$L55&lt;Q$3+7)),"◆",IF(AND(学校マスタ!$O55&lt;&gt;"",学校マスタ!$P55&lt;&gt;"",学校マスタ!$O55&lt;Q$3+7,学校マスタ!$P55&gt;=Q$3),"█",IF(AND(学校マスタ!$R55&lt;&gt;"",学校マスタ!$U55&lt;&gt;"",学校マスタ!$R55&lt;Q$3+7,学校マスタ!$U55&gt;=Q$3),"▒","")))))</f>
        <v/>
      </c>
      <c r="R57" s="26">
        <f>IF(学校マスタ!$A55="","",IF(AND(学校マスタ!$U55&lt;&gt;"",学校マスタ!$U55&gt;=R$3,学校マスタ!$U55&lt;R$3+7),"◎",IF(OR(AND(学校マスタ!$H55&lt;&gt;"",学校マスタ!$H55&gt;=R$3,学校マスタ!$H55&lt;R$3+7),AND(学校マスタ!$J55&lt;&gt;"",学校マスタ!$J55&gt;=R$3,学校マスタ!$J55&lt;R$3+7),AND(学校マスタ!$L55&lt;&gt;"",学校マスタ!$L55&gt;=R$3,学校マスタ!$L55&lt;R$3+7)),"◆",IF(AND(学校マスタ!$O55&lt;&gt;"",学校マスタ!$P55&lt;&gt;"",学校マスタ!$O55&lt;R$3+7,学校マスタ!$P55&gt;=R$3),"█",IF(AND(学校マスタ!$R55&lt;&gt;"",学校マスタ!$U55&lt;&gt;"",学校マスタ!$R55&lt;R$3+7,学校マスタ!$U55&gt;=R$3),"▒","")))))</f>
        <v/>
      </c>
      <c r="S57" s="26">
        <f>IF(学校マスタ!$A55="","",IF(AND(学校マスタ!$U55&lt;&gt;"",学校マスタ!$U55&gt;=S$3,学校マスタ!$U55&lt;S$3+7),"◎",IF(OR(AND(学校マスタ!$H55&lt;&gt;"",学校マスタ!$H55&gt;=S$3,学校マスタ!$H55&lt;S$3+7),AND(学校マスタ!$J55&lt;&gt;"",学校マスタ!$J55&gt;=S$3,学校マスタ!$J55&lt;S$3+7),AND(学校マスタ!$L55&lt;&gt;"",学校マスタ!$L55&gt;=S$3,学校マスタ!$L55&lt;S$3+7)),"◆",IF(AND(学校マスタ!$O55&lt;&gt;"",学校マスタ!$P55&lt;&gt;"",学校マスタ!$O55&lt;S$3+7,学校マスタ!$P55&gt;=S$3),"█",IF(AND(学校マスタ!$R55&lt;&gt;"",学校マスタ!$U55&lt;&gt;"",学校マスタ!$R55&lt;S$3+7,学校マスタ!$U55&gt;=S$3),"▒","")))))</f>
        <v/>
      </c>
      <c r="T57" s="26">
        <f>IF(学校マスタ!$A55="","",IF(AND(学校マスタ!$U55&lt;&gt;"",学校マスタ!$U55&gt;=T$3,学校マスタ!$U55&lt;T$3+7),"◎",IF(OR(AND(学校マスタ!$H55&lt;&gt;"",学校マスタ!$H55&gt;=T$3,学校マスタ!$H55&lt;T$3+7),AND(学校マスタ!$J55&lt;&gt;"",学校マスタ!$J55&gt;=T$3,学校マスタ!$J55&lt;T$3+7),AND(学校マスタ!$L55&lt;&gt;"",学校マスタ!$L55&gt;=T$3,学校マスタ!$L55&lt;T$3+7)),"◆",IF(AND(学校マスタ!$O55&lt;&gt;"",学校マスタ!$P55&lt;&gt;"",学校マスタ!$O55&lt;T$3+7,学校マスタ!$P55&gt;=T$3),"█",IF(AND(学校マスタ!$R55&lt;&gt;"",学校マスタ!$U55&lt;&gt;"",学校マスタ!$R55&lt;T$3+7,学校マスタ!$U55&gt;=T$3),"▒","")))))</f>
        <v/>
      </c>
      <c r="U57" s="26">
        <f>IF(学校マスタ!$A55="","",IF(AND(学校マスタ!$U55&lt;&gt;"",学校マスタ!$U55&gt;=U$3,学校マスタ!$U55&lt;U$3+7),"◎",IF(OR(AND(学校マスタ!$H55&lt;&gt;"",学校マスタ!$H55&gt;=U$3,学校マスタ!$H55&lt;U$3+7),AND(学校マスタ!$J55&lt;&gt;"",学校マスタ!$J55&gt;=U$3,学校マスタ!$J55&lt;U$3+7),AND(学校マスタ!$L55&lt;&gt;"",学校マスタ!$L55&gt;=U$3,学校マスタ!$L55&lt;U$3+7)),"◆",IF(AND(学校マスタ!$O55&lt;&gt;"",学校マスタ!$P55&lt;&gt;"",学校マスタ!$O55&lt;U$3+7,学校マスタ!$P55&gt;=U$3),"█",IF(AND(学校マスタ!$R55&lt;&gt;"",学校マスタ!$U55&lt;&gt;"",学校マスタ!$R55&lt;U$3+7,学校マスタ!$U55&gt;=U$3),"▒","")))))</f>
        <v/>
      </c>
      <c r="V57" s="26">
        <f>IF(学校マスタ!$A55="","",IF(AND(学校マスタ!$U55&lt;&gt;"",学校マスタ!$U55&gt;=V$3,学校マスタ!$U55&lt;V$3+7),"◎",IF(OR(AND(学校マスタ!$H55&lt;&gt;"",学校マスタ!$H55&gt;=V$3,学校マスタ!$H55&lt;V$3+7),AND(学校マスタ!$J55&lt;&gt;"",学校マスタ!$J55&gt;=V$3,学校マスタ!$J55&lt;V$3+7),AND(学校マスタ!$L55&lt;&gt;"",学校マスタ!$L55&gt;=V$3,学校マスタ!$L55&lt;V$3+7)),"◆",IF(AND(学校マスタ!$O55&lt;&gt;"",学校マスタ!$P55&lt;&gt;"",学校マスタ!$O55&lt;V$3+7,学校マスタ!$P55&gt;=V$3),"█",IF(AND(学校マスタ!$R55&lt;&gt;"",学校マスタ!$U55&lt;&gt;"",学校マスタ!$R55&lt;V$3+7,学校マスタ!$U55&gt;=V$3),"▒","")))))</f>
        <v/>
      </c>
      <c r="W57" s="26">
        <f>IF(学校マスタ!$A55="","",IF(AND(学校マスタ!$U55&lt;&gt;"",学校マスタ!$U55&gt;=W$3,学校マスタ!$U55&lt;W$3+7),"◎",IF(OR(AND(学校マスタ!$H55&lt;&gt;"",学校マスタ!$H55&gt;=W$3,学校マスタ!$H55&lt;W$3+7),AND(学校マスタ!$J55&lt;&gt;"",学校マスタ!$J55&gt;=W$3,学校マスタ!$J55&lt;W$3+7),AND(学校マスタ!$L55&lt;&gt;"",学校マスタ!$L55&gt;=W$3,学校マスタ!$L55&lt;W$3+7)),"◆",IF(AND(学校マスタ!$O55&lt;&gt;"",学校マスタ!$P55&lt;&gt;"",学校マスタ!$O55&lt;W$3+7,学校マスタ!$P55&gt;=W$3),"█",IF(AND(学校マスタ!$R55&lt;&gt;"",学校マスタ!$U55&lt;&gt;"",学校マスタ!$R55&lt;W$3+7,学校マスタ!$U55&gt;=W$3),"▒","")))))</f>
        <v/>
      </c>
      <c r="X57" s="26">
        <f>IF(学校マスタ!$A55="","",IF(AND(学校マスタ!$U55&lt;&gt;"",学校マスタ!$U55&gt;=X$3,学校マスタ!$U55&lt;X$3+7),"◎",IF(OR(AND(学校マスタ!$H55&lt;&gt;"",学校マスタ!$H55&gt;=X$3,学校マスタ!$H55&lt;X$3+7),AND(学校マスタ!$J55&lt;&gt;"",学校マスタ!$J55&gt;=X$3,学校マスタ!$J55&lt;X$3+7),AND(学校マスタ!$L55&lt;&gt;"",学校マスタ!$L55&gt;=X$3,学校マスタ!$L55&lt;X$3+7)),"◆",IF(AND(学校マスタ!$O55&lt;&gt;"",学校マスタ!$P55&lt;&gt;"",学校マスタ!$O55&lt;X$3+7,学校マスタ!$P55&gt;=X$3),"█",IF(AND(学校マスタ!$R55&lt;&gt;"",学校マスタ!$U55&lt;&gt;"",学校マスタ!$R55&lt;X$3+7,学校マスタ!$U55&gt;=X$3),"▒","")))))</f>
        <v/>
      </c>
      <c r="Y57" s="26">
        <f>IF(学校マスタ!$A55="","",IF(AND(学校マスタ!$U55&lt;&gt;"",学校マスタ!$U55&gt;=Y$3,学校マスタ!$U55&lt;Y$3+7),"◎",IF(OR(AND(学校マスタ!$H55&lt;&gt;"",学校マスタ!$H55&gt;=Y$3,学校マスタ!$H55&lt;Y$3+7),AND(学校マスタ!$J55&lt;&gt;"",学校マスタ!$J55&gt;=Y$3,学校マスタ!$J55&lt;Y$3+7),AND(学校マスタ!$L55&lt;&gt;"",学校マスタ!$L55&gt;=Y$3,学校マスタ!$L55&lt;Y$3+7)),"◆",IF(AND(学校マスタ!$O55&lt;&gt;"",学校マスタ!$P55&lt;&gt;"",学校マスタ!$O55&lt;Y$3+7,学校マスタ!$P55&gt;=Y$3),"█",IF(AND(学校マスタ!$R55&lt;&gt;"",学校マスタ!$U55&lt;&gt;"",学校マスタ!$R55&lt;Y$3+7,学校マスタ!$U55&gt;=Y$3),"▒","")))))</f>
        <v/>
      </c>
      <c r="Z57" s="26">
        <f>IF(学校マスタ!$A55="","",IF(AND(学校マスタ!$U55&lt;&gt;"",学校マスタ!$U55&gt;=Z$3,学校マスタ!$U55&lt;Z$3+7),"◎",IF(OR(AND(学校マスタ!$H55&lt;&gt;"",学校マスタ!$H55&gt;=Z$3,学校マスタ!$H55&lt;Z$3+7),AND(学校マスタ!$J55&lt;&gt;"",学校マスタ!$J55&gt;=Z$3,学校マスタ!$J55&lt;Z$3+7),AND(学校マスタ!$L55&lt;&gt;"",学校マスタ!$L55&gt;=Z$3,学校マスタ!$L55&lt;Z$3+7)),"◆",IF(AND(学校マスタ!$O55&lt;&gt;"",学校マスタ!$P55&lt;&gt;"",学校マスタ!$O55&lt;Z$3+7,学校マスタ!$P55&gt;=Z$3),"█",IF(AND(学校マスタ!$R55&lt;&gt;"",学校マスタ!$U55&lt;&gt;"",学校マスタ!$R55&lt;Z$3+7,学校マスタ!$U55&gt;=Z$3),"▒","")))))</f>
        <v/>
      </c>
      <c r="AA57" s="26">
        <f>IF(学校マスタ!$A55="","",IF(AND(学校マスタ!$U55&lt;&gt;"",学校マスタ!$U55&gt;=AA$3,学校マスタ!$U55&lt;AA$3+7),"◎",IF(OR(AND(学校マスタ!$H55&lt;&gt;"",学校マスタ!$H55&gt;=AA$3,学校マスタ!$H55&lt;AA$3+7),AND(学校マスタ!$J55&lt;&gt;"",学校マスタ!$J55&gt;=AA$3,学校マスタ!$J55&lt;AA$3+7),AND(学校マスタ!$L55&lt;&gt;"",学校マスタ!$L55&gt;=AA$3,学校マスタ!$L55&lt;AA$3+7)),"◆",IF(AND(学校マスタ!$O55&lt;&gt;"",学校マスタ!$P55&lt;&gt;"",学校マスタ!$O55&lt;AA$3+7,学校マスタ!$P55&gt;=AA$3),"█",IF(AND(学校マスタ!$R55&lt;&gt;"",学校マスタ!$U55&lt;&gt;"",学校マスタ!$R55&lt;AA$3+7,学校マスタ!$U55&gt;=AA$3),"▒","")))))</f>
        <v/>
      </c>
      <c r="AB57" s="26">
        <f>IF(学校マスタ!$A55="","",IF(AND(学校マスタ!$U55&lt;&gt;"",学校マスタ!$U55&gt;=AB$3,学校マスタ!$U55&lt;AB$3+7),"◎",IF(OR(AND(学校マスタ!$H55&lt;&gt;"",学校マスタ!$H55&gt;=AB$3,学校マスタ!$H55&lt;AB$3+7),AND(学校マスタ!$J55&lt;&gt;"",学校マスタ!$J55&gt;=AB$3,学校マスタ!$J55&lt;AB$3+7),AND(学校マスタ!$L55&lt;&gt;"",学校マスタ!$L55&gt;=AB$3,学校マスタ!$L55&lt;AB$3+7)),"◆",IF(AND(学校マスタ!$O55&lt;&gt;"",学校マスタ!$P55&lt;&gt;"",学校マスタ!$O55&lt;AB$3+7,学校マスタ!$P55&gt;=AB$3),"█",IF(AND(学校マスタ!$R55&lt;&gt;"",学校マスタ!$U55&lt;&gt;"",学校マスタ!$R55&lt;AB$3+7,学校マスタ!$U55&gt;=AB$3),"▒","")))))</f>
        <v/>
      </c>
    </row>
    <row r="58">
      <c r="A58" s="19">
        <f>IF(学校マスタ!$A56="","",学校マスタ!$A56)</f>
        <v/>
      </c>
      <c r="B58" s="19">
        <f>IF(学校マスタ!$A56="","",学校マスタ!$C56)</f>
        <v/>
      </c>
      <c r="C58" s="19">
        <f>IF(学校マスタ!$A56="","",学校マスタ!$X56)</f>
        <v/>
      </c>
      <c r="D58" s="25">
        <f>IF(学校マスタ!$A56="","",学校マスタ!$R56)</f>
        <v/>
      </c>
      <c r="E58" s="26">
        <f>IF(学校マスタ!$A56="","",IF(AND(学校マスタ!$U56&lt;&gt;"",学校マスタ!$U56&gt;=E$3,学校マスタ!$U56&lt;E$3+7),"◎",IF(OR(AND(学校マスタ!$H56&lt;&gt;"",学校マスタ!$H56&gt;=E$3,学校マスタ!$H56&lt;E$3+7),AND(学校マスタ!$J56&lt;&gt;"",学校マスタ!$J56&gt;=E$3,学校マスタ!$J56&lt;E$3+7),AND(学校マスタ!$L56&lt;&gt;"",学校マスタ!$L56&gt;=E$3,学校マスタ!$L56&lt;E$3+7)),"◆",IF(AND(学校マスタ!$O56&lt;&gt;"",学校マスタ!$P56&lt;&gt;"",学校マスタ!$O56&lt;E$3+7,学校マスタ!$P56&gt;=E$3),"█",IF(AND(学校マスタ!$R56&lt;&gt;"",学校マスタ!$U56&lt;&gt;"",学校マスタ!$R56&lt;E$3+7,学校マスタ!$U56&gt;=E$3),"▒","")))))</f>
        <v/>
      </c>
      <c r="F58" s="26">
        <f>IF(学校マスタ!$A56="","",IF(AND(学校マスタ!$U56&lt;&gt;"",学校マスタ!$U56&gt;=F$3,学校マスタ!$U56&lt;F$3+7),"◎",IF(OR(AND(学校マスタ!$H56&lt;&gt;"",学校マスタ!$H56&gt;=F$3,学校マスタ!$H56&lt;F$3+7),AND(学校マスタ!$J56&lt;&gt;"",学校マスタ!$J56&gt;=F$3,学校マスタ!$J56&lt;F$3+7),AND(学校マスタ!$L56&lt;&gt;"",学校マスタ!$L56&gt;=F$3,学校マスタ!$L56&lt;F$3+7)),"◆",IF(AND(学校マスタ!$O56&lt;&gt;"",学校マスタ!$P56&lt;&gt;"",学校マスタ!$O56&lt;F$3+7,学校マスタ!$P56&gt;=F$3),"█",IF(AND(学校マスタ!$R56&lt;&gt;"",学校マスタ!$U56&lt;&gt;"",学校マスタ!$R56&lt;F$3+7,学校マスタ!$U56&gt;=F$3),"▒","")))))</f>
        <v/>
      </c>
      <c r="G58" s="26">
        <f>IF(学校マスタ!$A56="","",IF(AND(学校マスタ!$U56&lt;&gt;"",学校マスタ!$U56&gt;=G$3,学校マスタ!$U56&lt;G$3+7),"◎",IF(OR(AND(学校マスタ!$H56&lt;&gt;"",学校マスタ!$H56&gt;=G$3,学校マスタ!$H56&lt;G$3+7),AND(学校マスタ!$J56&lt;&gt;"",学校マスタ!$J56&gt;=G$3,学校マスタ!$J56&lt;G$3+7),AND(学校マスタ!$L56&lt;&gt;"",学校マスタ!$L56&gt;=G$3,学校マスタ!$L56&lt;G$3+7)),"◆",IF(AND(学校マスタ!$O56&lt;&gt;"",学校マスタ!$P56&lt;&gt;"",学校マスタ!$O56&lt;G$3+7,学校マスタ!$P56&gt;=G$3),"█",IF(AND(学校マスタ!$R56&lt;&gt;"",学校マスタ!$U56&lt;&gt;"",学校マスタ!$R56&lt;G$3+7,学校マスタ!$U56&gt;=G$3),"▒","")))))</f>
        <v/>
      </c>
      <c r="H58" s="26">
        <f>IF(学校マスタ!$A56="","",IF(AND(学校マスタ!$U56&lt;&gt;"",学校マスタ!$U56&gt;=H$3,学校マスタ!$U56&lt;H$3+7),"◎",IF(OR(AND(学校マスタ!$H56&lt;&gt;"",学校マスタ!$H56&gt;=H$3,学校マスタ!$H56&lt;H$3+7),AND(学校マスタ!$J56&lt;&gt;"",学校マスタ!$J56&gt;=H$3,学校マスタ!$J56&lt;H$3+7),AND(学校マスタ!$L56&lt;&gt;"",学校マスタ!$L56&gt;=H$3,学校マスタ!$L56&lt;H$3+7)),"◆",IF(AND(学校マスタ!$O56&lt;&gt;"",学校マスタ!$P56&lt;&gt;"",学校マスタ!$O56&lt;H$3+7,学校マスタ!$P56&gt;=H$3),"█",IF(AND(学校マスタ!$R56&lt;&gt;"",学校マスタ!$U56&lt;&gt;"",学校マスタ!$R56&lt;H$3+7,学校マスタ!$U56&gt;=H$3),"▒","")))))</f>
        <v/>
      </c>
      <c r="I58" s="26">
        <f>IF(学校マスタ!$A56="","",IF(AND(学校マスタ!$U56&lt;&gt;"",学校マスタ!$U56&gt;=I$3,学校マスタ!$U56&lt;I$3+7),"◎",IF(OR(AND(学校マスタ!$H56&lt;&gt;"",学校マスタ!$H56&gt;=I$3,学校マスタ!$H56&lt;I$3+7),AND(学校マスタ!$J56&lt;&gt;"",学校マスタ!$J56&gt;=I$3,学校マスタ!$J56&lt;I$3+7),AND(学校マスタ!$L56&lt;&gt;"",学校マスタ!$L56&gt;=I$3,学校マスタ!$L56&lt;I$3+7)),"◆",IF(AND(学校マスタ!$O56&lt;&gt;"",学校マスタ!$P56&lt;&gt;"",学校マスタ!$O56&lt;I$3+7,学校マスタ!$P56&gt;=I$3),"█",IF(AND(学校マスタ!$R56&lt;&gt;"",学校マスタ!$U56&lt;&gt;"",学校マスタ!$R56&lt;I$3+7,学校マスタ!$U56&gt;=I$3),"▒","")))))</f>
        <v/>
      </c>
      <c r="J58" s="26">
        <f>IF(学校マスタ!$A56="","",IF(AND(学校マスタ!$U56&lt;&gt;"",学校マスタ!$U56&gt;=J$3,学校マスタ!$U56&lt;J$3+7),"◎",IF(OR(AND(学校マスタ!$H56&lt;&gt;"",学校マスタ!$H56&gt;=J$3,学校マスタ!$H56&lt;J$3+7),AND(学校マスタ!$J56&lt;&gt;"",学校マスタ!$J56&gt;=J$3,学校マスタ!$J56&lt;J$3+7),AND(学校マスタ!$L56&lt;&gt;"",学校マスタ!$L56&gt;=J$3,学校マスタ!$L56&lt;J$3+7)),"◆",IF(AND(学校マスタ!$O56&lt;&gt;"",学校マスタ!$P56&lt;&gt;"",学校マスタ!$O56&lt;J$3+7,学校マスタ!$P56&gt;=J$3),"█",IF(AND(学校マスタ!$R56&lt;&gt;"",学校マスタ!$U56&lt;&gt;"",学校マスタ!$R56&lt;J$3+7,学校マスタ!$U56&gt;=J$3),"▒","")))))</f>
        <v/>
      </c>
      <c r="K58" s="26">
        <f>IF(学校マスタ!$A56="","",IF(AND(学校マスタ!$U56&lt;&gt;"",学校マスタ!$U56&gt;=K$3,学校マスタ!$U56&lt;K$3+7),"◎",IF(OR(AND(学校マスタ!$H56&lt;&gt;"",学校マスタ!$H56&gt;=K$3,学校マスタ!$H56&lt;K$3+7),AND(学校マスタ!$J56&lt;&gt;"",学校マスタ!$J56&gt;=K$3,学校マスタ!$J56&lt;K$3+7),AND(学校マスタ!$L56&lt;&gt;"",学校マスタ!$L56&gt;=K$3,学校マスタ!$L56&lt;K$3+7)),"◆",IF(AND(学校マスタ!$O56&lt;&gt;"",学校マスタ!$P56&lt;&gt;"",学校マスタ!$O56&lt;K$3+7,学校マスタ!$P56&gt;=K$3),"█",IF(AND(学校マスタ!$R56&lt;&gt;"",学校マスタ!$U56&lt;&gt;"",学校マスタ!$R56&lt;K$3+7,学校マスタ!$U56&gt;=K$3),"▒","")))))</f>
        <v/>
      </c>
      <c r="L58" s="26">
        <f>IF(学校マスタ!$A56="","",IF(AND(学校マスタ!$U56&lt;&gt;"",学校マスタ!$U56&gt;=L$3,学校マスタ!$U56&lt;L$3+7),"◎",IF(OR(AND(学校マスタ!$H56&lt;&gt;"",学校マスタ!$H56&gt;=L$3,学校マスタ!$H56&lt;L$3+7),AND(学校マスタ!$J56&lt;&gt;"",学校マスタ!$J56&gt;=L$3,学校マスタ!$J56&lt;L$3+7),AND(学校マスタ!$L56&lt;&gt;"",学校マスタ!$L56&gt;=L$3,学校マスタ!$L56&lt;L$3+7)),"◆",IF(AND(学校マスタ!$O56&lt;&gt;"",学校マスタ!$P56&lt;&gt;"",学校マスタ!$O56&lt;L$3+7,学校マスタ!$P56&gt;=L$3),"█",IF(AND(学校マスタ!$R56&lt;&gt;"",学校マスタ!$U56&lt;&gt;"",学校マスタ!$R56&lt;L$3+7,学校マスタ!$U56&gt;=L$3),"▒","")))))</f>
        <v/>
      </c>
      <c r="M58" s="26">
        <f>IF(学校マスタ!$A56="","",IF(AND(学校マスタ!$U56&lt;&gt;"",学校マスタ!$U56&gt;=M$3,学校マスタ!$U56&lt;M$3+7),"◎",IF(OR(AND(学校マスタ!$H56&lt;&gt;"",学校マスタ!$H56&gt;=M$3,学校マスタ!$H56&lt;M$3+7),AND(学校マスタ!$J56&lt;&gt;"",学校マスタ!$J56&gt;=M$3,学校マスタ!$J56&lt;M$3+7),AND(学校マスタ!$L56&lt;&gt;"",学校マスタ!$L56&gt;=M$3,学校マスタ!$L56&lt;M$3+7)),"◆",IF(AND(学校マスタ!$O56&lt;&gt;"",学校マスタ!$P56&lt;&gt;"",学校マスタ!$O56&lt;M$3+7,学校マスタ!$P56&gt;=M$3),"█",IF(AND(学校マスタ!$R56&lt;&gt;"",学校マスタ!$U56&lt;&gt;"",学校マスタ!$R56&lt;M$3+7,学校マスタ!$U56&gt;=M$3),"▒","")))))</f>
        <v/>
      </c>
      <c r="N58" s="26">
        <f>IF(学校マスタ!$A56="","",IF(AND(学校マスタ!$U56&lt;&gt;"",学校マスタ!$U56&gt;=N$3,学校マスタ!$U56&lt;N$3+7),"◎",IF(OR(AND(学校マスタ!$H56&lt;&gt;"",学校マスタ!$H56&gt;=N$3,学校マスタ!$H56&lt;N$3+7),AND(学校マスタ!$J56&lt;&gt;"",学校マスタ!$J56&gt;=N$3,学校マスタ!$J56&lt;N$3+7),AND(学校マスタ!$L56&lt;&gt;"",学校マスタ!$L56&gt;=N$3,学校マスタ!$L56&lt;N$3+7)),"◆",IF(AND(学校マスタ!$O56&lt;&gt;"",学校マスタ!$P56&lt;&gt;"",学校マスタ!$O56&lt;N$3+7,学校マスタ!$P56&gt;=N$3),"█",IF(AND(学校マスタ!$R56&lt;&gt;"",学校マスタ!$U56&lt;&gt;"",学校マスタ!$R56&lt;N$3+7,学校マスタ!$U56&gt;=N$3),"▒","")))))</f>
        <v/>
      </c>
      <c r="O58" s="26">
        <f>IF(学校マスタ!$A56="","",IF(AND(学校マスタ!$U56&lt;&gt;"",学校マスタ!$U56&gt;=O$3,学校マスタ!$U56&lt;O$3+7),"◎",IF(OR(AND(学校マスタ!$H56&lt;&gt;"",学校マスタ!$H56&gt;=O$3,学校マスタ!$H56&lt;O$3+7),AND(学校マスタ!$J56&lt;&gt;"",学校マスタ!$J56&gt;=O$3,学校マスタ!$J56&lt;O$3+7),AND(学校マスタ!$L56&lt;&gt;"",学校マスタ!$L56&gt;=O$3,学校マスタ!$L56&lt;O$3+7)),"◆",IF(AND(学校マスタ!$O56&lt;&gt;"",学校マスタ!$P56&lt;&gt;"",学校マスタ!$O56&lt;O$3+7,学校マスタ!$P56&gt;=O$3),"█",IF(AND(学校マスタ!$R56&lt;&gt;"",学校マスタ!$U56&lt;&gt;"",学校マスタ!$R56&lt;O$3+7,学校マスタ!$U56&gt;=O$3),"▒","")))))</f>
        <v/>
      </c>
      <c r="P58" s="26">
        <f>IF(学校マスタ!$A56="","",IF(AND(学校マスタ!$U56&lt;&gt;"",学校マスタ!$U56&gt;=P$3,学校マスタ!$U56&lt;P$3+7),"◎",IF(OR(AND(学校マスタ!$H56&lt;&gt;"",学校マスタ!$H56&gt;=P$3,学校マスタ!$H56&lt;P$3+7),AND(学校マスタ!$J56&lt;&gt;"",学校マスタ!$J56&gt;=P$3,学校マスタ!$J56&lt;P$3+7),AND(学校マスタ!$L56&lt;&gt;"",学校マスタ!$L56&gt;=P$3,学校マスタ!$L56&lt;P$3+7)),"◆",IF(AND(学校マスタ!$O56&lt;&gt;"",学校マスタ!$P56&lt;&gt;"",学校マスタ!$O56&lt;P$3+7,学校マスタ!$P56&gt;=P$3),"█",IF(AND(学校マスタ!$R56&lt;&gt;"",学校マスタ!$U56&lt;&gt;"",学校マスタ!$R56&lt;P$3+7,学校マスタ!$U56&gt;=P$3),"▒","")))))</f>
        <v/>
      </c>
      <c r="Q58" s="26">
        <f>IF(学校マスタ!$A56="","",IF(AND(学校マスタ!$U56&lt;&gt;"",学校マスタ!$U56&gt;=Q$3,学校マスタ!$U56&lt;Q$3+7),"◎",IF(OR(AND(学校マスタ!$H56&lt;&gt;"",学校マスタ!$H56&gt;=Q$3,学校マスタ!$H56&lt;Q$3+7),AND(学校マスタ!$J56&lt;&gt;"",学校マスタ!$J56&gt;=Q$3,学校マスタ!$J56&lt;Q$3+7),AND(学校マスタ!$L56&lt;&gt;"",学校マスタ!$L56&gt;=Q$3,学校マスタ!$L56&lt;Q$3+7)),"◆",IF(AND(学校マスタ!$O56&lt;&gt;"",学校マスタ!$P56&lt;&gt;"",学校マスタ!$O56&lt;Q$3+7,学校マスタ!$P56&gt;=Q$3),"█",IF(AND(学校マスタ!$R56&lt;&gt;"",学校マスタ!$U56&lt;&gt;"",学校マスタ!$R56&lt;Q$3+7,学校マスタ!$U56&gt;=Q$3),"▒","")))))</f>
        <v/>
      </c>
      <c r="R58" s="26">
        <f>IF(学校マスタ!$A56="","",IF(AND(学校マスタ!$U56&lt;&gt;"",学校マスタ!$U56&gt;=R$3,学校マスタ!$U56&lt;R$3+7),"◎",IF(OR(AND(学校マスタ!$H56&lt;&gt;"",学校マスタ!$H56&gt;=R$3,学校マスタ!$H56&lt;R$3+7),AND(学校マスタ!$J56&lt;&gt;"",学校マスタ!$J56&gt;=R$3,学校マスタ!$J56&lt;R$3+7),AND(学校マスタ!$L56&lt;&gt;"",学校マスタ!$L56&gt;=R$3,学校マスタ!$L56&lt;R$3+7)),"◆",IF(AND(学校マスタ!$O56&lt;&gt;"",学校マスタ!$P56&lt;&gt;"",学校マスタ!$O56&lt;R$3+7,学校マスタ!$P56&gt;=R$3),"█",IF(AND(学校マスタ!$R56&lt;&gt;"",学校マスタ!$U56&lt;&gt;"",学校マスタ!$R56&lt;R$3+7,学校マスタ!$U56&gt;=R$3),"▒","")))))</f>
        <v/>
      </c>
      <c r="S58" s="26">
        <f>IF(学校マスタ!$A56="","",IF(AND(学校マスタ!$U56&lt;&gt;"",学校マスタ!$U56&gt;=S$3,学校マスタ!$U56&lt;S$3+7),"◎",IF(OR(AND(学校マスタ!$H56&lt;&gt;"",学校マスタ!$H56&gt;=S$3,学校マスタ!$H56&lt;S$3+7),AND(学校マスタ!$J56&lt;&gt;"",学校マスタ!$J56&gt;=S$3,学校マスタ!$J56&lt;S$3+7),AND(学校マスタ!$L56&lt;&gt;"",学校マスタ!$L56&gt;=S$3,学校マスタ!$L56&lt;S$3+7)),"◆",IF(AND(学校マスタ!$O56&lt;&gt;"",学校マスタ!$P56&lt;&gt;"",学校マスタ!$O56&lt;S$3+7,学校マスタ!$P56&gt;=S$3),"█",IF(AND(学校マスタ!$R56&lt;&gt;"",学校マスタ!$U56&lt;&gt;"",学校マスタ!$R56&lt;S$3+7,学校マスタ!$U56&gt;=S$3),"▒","")))))</f>
        <v/>
      </c>
      <c r="T58" s="26">
        <f>IF(学校マスタ!$A56="","",IF(AND(学校マスタ!$U56&lt;&gt;"",学校マスタ!$U56&gt;=T$3,学校マスタ!$U56&lt;T$3+7),"◎",IF(OR(AND(学校マスタ!$H56&lt;&gt;"",学校マスタ!$H56&gt;=T$3,学校マスタ!$H56&lt;T$3+7),AND(学校マスタ!$J56&lt;&gt;"",学校マスタ!$J56&gt;=T$3,学校マスタ!$J56&lt;T$3+7),AND(学校マスタ!$L56&lt;&gt;"",学校マスタ!$L56&gt;=T$3,学校マスタ!$L56&lt;T$3+7)),"◆",IF(AND(学校マスタ!$O56&lt;&gt;"",学校マスタ!$P56&lt;&gt;"",学校マスタ!$O56&lt;T$3+7,学校マスタ!$P56&gt;=T$3),"█",IF(AND(学校マスタ!$R56&lt;&gt;"",学校マスタ!$U56&lt;&gt;"",学校マスタ!$R56&lt;T$3+7,学校マスタ!$U56&gt;=T$3),"▒","")))))</f>
        <v/>
      </c>
      <c r="U58" s="26">
        <f>IF(学校マスタ!$A56="","",IF(AND(学校マスタ!$U56&lt;&gt;"",学校マスタ!$U56&gt;=U$3,学校マスタ!$U56&lt;U$3+7),"◎",IF(OR(AND(学校マスタ!$H56&lt;&gt;"",学校マスタ!$H56&gt;=U$3,学校マスタ!$H56&lt;U$3+7),AND(学校マスタ!$J56&lt;&gt;"",学校マスタ!$J56&gt;=U$3,学校マスタ!$J56&lt;U$3+7),AND(学校マスタ!$L56&lt;&gt;"",学校マスタ!$L56&gt;=U$3,学校マスタ!$L56&lt;U$3+7)),"◆",IF(AND(学校マスタ!$O56&lt;&gt;"",学校マスタ!$P56&lt;&gt;"",学校マスタ!$O56&lt;U$3+7,学校マスタ!$P56&gt;=U$3),"█",IF(AND(学校マスタ!$R56&lt;&gt;"",学校マスタ!$U56&lt;&gt;"",学校マスタ!$R56&lt;U$3+7,学校マスタ!$U56&gt;=U$3),"▒","")))))</f>
        <v/>
      </c>
      <c r="V58" s="26">
        <f>IF(学校マスタ!$A56="","",IF(AND(学校マスタ!$U56&lt;&gt;"",学校マスタ!$U56&gt;=V$3,学校マスタ!$U56&lt;V$3+7),"◎",IF(OR(AND(学校マスタ!$H56&lt;&gt;"",学校マスタ!$H56&gt;=V$3,学校マスタ!$H56&lt;V$3+7),AND(学校マスタ!$J56&lt;&gt;"",学校マスタ!$J56&gt;=V$3,学校マスタ!$J56&lt;V$3+7),AND(学校マスタ!$L56&lt;&gt;"",学校マスタ!$L56&gt;=V$3,学校マスタ!$L56&lt;V$3+7)),"◆",IF(AND(学校マスタ!$O56&lt;&gt;"",学校マスタ!$P56&lt;&gt;"",学校マスタ!$O56&lt;V$3+7,学校マスタ!$P56&gt;=V$3),"█",IF(AND(学校マスタ!$R56&lt;&gt;"",学校マスタ!$U56&lt;&gt;"",学校マスタ!$R56&lt;V$3+7,学校マスタ!$U56&gt;=V$3),"▒","")))))</f>
        <v/>
      </c>
      <c r="W58" s="26">
        <f>IF(学校マスタ!$A56="","",IF(AND(学校マスタ!$U56&lt;&gt;"",学校マスタ!$U56&gt;=W$3,学校マスタ!$U56&lt;W$3+7),"◎",IF(OR(AND(学校マスタ!$H56&lt;&gt;"",学校マスタ!$H56&gt;=W$3,学校マスタ!$H56&lt;W$3+7),AND(学校マスタ!$J56&lt;&gt;"",学校マスタ!$J56&gt;=W$3,学校マスタ!$J56&lt;W$3+7),AND(学校マスタ!$L56&lt;&gt;"",学校マスタ!$L56&gt;=W$3,学校マスタ!$L56&lt;W$3+7)),"◆",IF(AND(学校マスタ!$O56&lt;&gt;"",学校マスタ!$P56&lt;&gt;"",学校マスタ!$O56&lt;W$3+7,学校マスタ!$P56&gt;=W$3),"█",IF(AND(学校マスタ!$R56&lt;&gt;"",学校マスタ!$U56&lt;&gt;"",学校マスタ!$R56&lt;W$3+7,学校マスタ!$U56&gt;=W$3),"▒","")))))</f>
        <v/>
      </c>
      <c r="X58" s="26">
        <f>IF(学校マスタ!$A56="","",IF(AND(学校マスタ!$U56&lt;&gt;"",学校マスタ!$U56&gt;=X$3,学校マスタ!$U56&lt;X$3+7),"◎",IF(OR(AND(学校マスタ!$H56&lt;&gt;"",学校マスタ!$H56&gt;=X$3,学校マスタ!$H56&lt;X$3+7),AND(学校マスタ!$J56&lt;&gt;"",学校マスタ!$J56&gt;=X$3,学校マスタ!$J56&lt;X$3+7),AND(学校マスタ!$L56&lt;&gt;"",学校マスタ!$L56&gt;=X$3,学校マスタ!$L56&lt;X$3+7)),"◆",IF(AND(学校マスタ!$O56&lt;&gt;"",学校マスタ!$P56&lt;&gt;"",学校マスタ!$O56&lt;X$3+7,学校マスタ!$P56&gt;=X$3),"█",IF(AND(学校マスタ!$R56&lt;&gt;"",学校マスタ!$U56&lt;&gt;"",学校マスタ!$R56&lt;X$3+7,学校マスタ!$U56&gt;=X$3),"▒","")))))</f>
        <v/>
      </c>
      <c r="Y58" s="26">
        <f>IF(学校マスタ!$A56="","",IF(AND(学校マスタ!$U56&lt;&gt;"",学校マスタ!$U56&gt;=Y$3,学校マスタ!$U56&lt;Y$3+7),"◎",IF(OR(AND(学校マスタ!$H56&lt;&gt;"",学校マスタ!$H56&gt;=Y$3,学校マスタ!$H56&lt;Y$3+7),AND(学校マスタ!$J56&lt;&gt;"",学校マスタ!$J56&gt;=Y$3,学校マスタ!$J56&lt;Y$3+7),AND(学校マスタ!$L56&lt;&gt;"",学校マスタ!$L56&gt;=Y$3,学校マスタ!$L56&lt;Y$3+7)),"◆",IF(AND(学校マスタ!$O56&lt;&gt;"",学校マスタ!$P56&lt;&gt;"",学校マスタ!$O56&lt;Y$3+7,学校マスタ!$P56&gt;=Y$3),"█",IF(AND(学校マスタ!$R56&lt;&gt;"",学校マスタ!$U56&lt;&gt;"",学校マスタ!$R56&lt;Y$3+7,学校マスタ!$U56&gt;=Y$3),"▒","")))))</f>
        <v/>
      </c>
      <c r="Z58" s="26">
        <f>IF(学校マスタ!$A56="","",IF(AND(学校マスタ!$U56&lt;&gt;"",学校マスタ!$U56&gt;=Z$3,学校マスタ!$U56&lt;Z$3+7),"◎",IF(OR(AND(学校マスタ!$H56&lt;&gt;"",学校マスタ!$H56&gt;=Z$3,学校マスタ!$H56&lt;Z$3+7),AND(学校マスタ!$J56&lt;&gt;"",学校マスタ!$J56&gt;=Z$3,学校マスタ!$J56&lt;Z$3+7),AND(学校マスタ!$L56&lt;&gt;"",学校マスタ!$L56&gt;=Z$3,学校マスタ!$L56&lt;Z$3+7)),"◆",IF(AND(学校マスタ!$O56&lt;&gt;"",学校マスタ!$P56&lt;&gt;"",学校マスタ!$O56&lt;Z$3+7,学校マスタ!$P56&gt;=Z$3),"█",IF(AND(学校マスタ!$R56&lt;&gt;"",学校マスタ!$U56&lt;&gt;"",学校マスタ!$R56&lt;Z$3+7,学校マスタ!$U56&gt;=Z$3),"▒","")))))</f>
        <v/>
      </c>
      <c r="AA58" s="26">
        <f>IF(学校マスタ!$A56="","",IF(AND(学校マスタ!$U56&lt;&gt;"",学校マスタ!$U56&gt;=AA$3,学校マスタ!$U56&lt;AA$3+7),"◎",IF(OR(AND(学校マスタ!$H56&lt;&gt;"",学校マスタ!$H56&gt;=AA$3,学校マスタ!$H56&lt;AA$3+7),AND(学校マスタ!$J56&lt;&gt;"",学校マスタ!$J56&gt;=AA$3,学校マスタ!$J56&lt;AA$3+7),AND(学校マスタ!$L56&lt;&gt;"",学校マスタ!$L56&gt;=AA$3,学校マスタ!$L56&lt;AA$3+7)),"◆",IF(AND(学校マスタ!$O56&lt;&gt;"",学校マスタ!$P56&lt;&gt;"",学校マスタ!$O56&lt;AA$3+7,学校マスタ!$P56&gt;=AA$3),"█",IF(AND(学校マスタ!$R56&lt;&gt;"",学校マスタ!$U56&lt;&gt;"",学校マスタ!$R56&lt;AA$3+7,学校マスタ!$U56&gt;=AA$3),"▒","")))))</f>
        <v/>
      </c>
      <c r="AB58" s="26">
        <f>IF(学校マスタ!$A56="","",IF(AND(学校マスタ!$U56&lt;&gt;"",学校マスタ!$U56&gt;=AB$3,学校マスタ!$U56&lt;AB$3+7),"◎",IF(OR(AND(学校マスタ!$H56&lt;&gt;"",学校マスタ!$H56&gt;=AB$3,学校マスタ!$H56&lt;AB$3+7),AND(学校マスタ!$J56&lt;&gt;"",学校マスタ!$J56&gt;=AB$3,学校マスタ!$J56&lt;AB$3+7),AND(学校マスタ!$L56&lt;&gt;"",学校マスタ!$L56&gt;=AB$3,学校マスタ!$L56&lt;AB$3+7)),"◆",IF(AND(学校マスタ!$O56&lt;&gt;"",学校マスタ!$P56&lt;&gt;"",学校マスタ!$O56&lt;AB$3+7,学校マスタ!$P56&gt;=AB$3),"█",IF(AND(学校マスタ!$R56&lt;&gt;"",学校マスタ!$U56&lt;&gt;"",学校マスタ!$R56&lt;AB$3+7,学校マスタ!$U56&gt;=AB$3),"▒","")))))</f>
        <v/>
      </c>
    </row>
    <row r="59">
      <c r="A59" s="19">
        <f>IF(学校マスタ!$A57="","",学校マスタ!$A57)</f>
        <v/>
      </c>
      <c r="B59" s="19">
        <f>IF(学校マスタ!$A57="","",学校マスタ!$C57)</f>
        <v/>
      </c>
      <c r="C59" s="19">
        <f>IF(学校マスタ!$A57="","",学校マスタ!$X57)</f>
        <v/>
      </c>
      <c r="D59" s="25">
        <f>IF(学校マスタ!$A57="","",学校マスタ!$R57)</f>
        <v/>
      </c>
      <c r="E59" s="26">
        <f>IF(学校マスタ!$A57="","",IF(AND(学校マスタ!$U57&lt;&gt;"",学校マスタ!$U57&gt;=E$3,学校マスタ!$U57&lt;E$3+7),"◎",IF(OR(AND(学校マスタ!$H57&lt;&gt;"",学校マスタ!$H57&gt;=E$3,学校マスタ!$H57&lt;E$3+7),AND(学校マスタ!$J57&lt;&gt;"",学校マスタ!$J57&gt;=E$3,学校マスタ!$J57&lt;E$3+7),AND(学校マスタ!$L57&lt;&gt;"",学校マスタ!$L57&gt;=E$3,学校マスタ!$L57&lt;E$3+7)),"◆",IF(AND(学校マスタ!$O57&lt;&gt;"",学校マスタ!$P57&lt;&gt;"",学校マスタ!$O57&lt;E$3+7,学校マスタ!$P57&gt;=E$3),"█",IF(AND(学校マスタ!$R57&lt;&gt;"",学校マスタ!$U57&lt;&gt;"",学校マスタ!$R57&lt;E$3+7,学校マスタ!$U57&gt;=E$3),"▒","")))))</f>
        <v/>
      </c>
      <c r="F59" s="26">
        <f>IF(学校マスタ!$A57="","",IF(AND(学校マスタ!$U57&lt;&gt;"",学校マスタ!$U57&gt;=F$3,学校マスタ!$U57&lt;F$3+7),"◎",IF(OR(AND(学校マスタ!$H57&lt;&gt;"",学校マスタ!$H57&gt;=F$3,学校マスタ!$H57&lt;F$3+7),AND(学校マスタ!$J57&lt;&gt;"",学校マスタ!$J57&gt;=F$3,学校マスタ!$J57&lt;F$3+7),AND(学校マスタ!$L57&lt;&gt;"",学校マスタ!$L57&gt;=F$3,学校マスタ!$L57&lt;F$3+7)),"◆",IF(AND(学校マスタ!$O57&lt;&gt;"",学校マスタ!$P57&lt;&gt;"",学校マスタ!$O57&lt;F$3+7,学校マスタ!$P57&gt;=F$3),"█",IF(AND(学校マスタ!$R57&lt;&gt;"",学校マスタ!$U57&lt;&gt;"",学校マスタ!$R57&lt;F$3+7,学校マスタ!$U57&gt;=F$3),"▒","")))))</f>
        <v/>
      </c>
      <c r="G59" s="26">
        <f>IF(学校マスタ!$A57="","",IF(AND(学校マスタ!$U57&lt;&gt;"",学校マスタ!$U57&gt;=G$3,学校マスタ!$U57&lt;G$3+7),"◎",IF(OR(AND(学校マスタ!$H57&lt;&gt;"",学校マスタ!$H57&gt;=G$3,学校マスタ!$H57&lt;G$3+7),AND(学校マスタ!$J57&lt;&gt;"",学校マスタ!$J57&gt;=G$3,学校マスタ!$J57&lt;G$3+7),AND(学校マスタ!$L57&lt;&gt;"",学校マスタ!$L57&gt;=G$3,学校マスタ!$L57&lt;G$3+7)),"◆",IF(AND(学校マスタ!$O57&lt;&gt;"",学校マスタ!$P57&lt;&gt;"",学校マスタ!$O57&lt;G$3+7,学校マスタ!$P57&gt;=G$3),"█",IF(AND(学校マスタ!$R57&lt;&gt;"",学校マスタ!$U57&lt;&gt;"",学校マスタ!$R57&lt;G$3+7,学校マスタ!$U57&gt;=G$3),"▒","")))))</f>
        <v/>
      </c>
      <c r="H59" s="26">
        <f>IF(学校マスタ!$A57="","",IF(AND(学校マスタ!$U57&lt;&gt;"",学校マスタ!$U57&gt;=H$3,学校マスタ!$U57&lt;H$3+7),"◎",IF(OR(AND(学校マスタ!$H57&lt;&gt;"",学校マスタ!$H57&gt;=H$3,学校マスタ!$H57&lt;H$3+7),AND(学校マスタ!$J57&lt;&gt;"",学校マスタ!$J57&gt;=H$3,学校マスタ!$J57&lt;H$3+7),AND(学校マスタ!$L57&lt;&gt;"",学校マスタ!$L57&gt;=H$3,学校マスタ!$L57&lt;H$3+7)),"◆",IF(AND(学校マスタ!$O57&lt;&gt;"",学校マスタ!$P57&lt;&gt;"",学校マスタ!$O57&lt;H$3+7,学校マスタ!$P57&gt;=H$3),"█",IF(AND(学校マスタ!$R57&lt;&gt;"",学校マスタ!$U57&lt;&gt;"",学校マスタ!$R57&lt;H$3+7,学校マスタ!$U57&gt;=H$3),"▒","")))))</f>
        <v/>
      </c>
      <c r="I59" s="26">
        <f>IF(学校マスタ!$A57="","",IF(AND(学校マスタ!$U57&lt;&gt;"",学校マスタ!$U57&gt;=I$3,学校マスタ!$U57&lt;I$3+7),"◎",IF(OR(AND(学校マスタ!$H57&lt;&gt;"",学校マスタ!$H57&gt;=I$3,学校マスタ!$H57&lt;I$3+7),AND(学校マスタ!$J57&lt;&gt;"",学校マスタ!$J57&gt;=I$3,学校マスタ!$J57&lt;I$3+7),AND(学校マスタ!$L57&lt;&gt;"",学校マスタ!$L57&gt;=I$3,学校マスタ!$L57&lt;I$3+7)),"◆",IF(AND(学校マスタ!$O57&lt;&gt;"",学校マスタ!$P57&lt;&gt;"",学校マスタ!$O57&lt;I$3+7,学校マスタ!$P57&gt;=I$3),"█",IF(AND(学校マスタ!$R57&lt;&gt;"",学校マスタ!$U57&lt;&gt;"",学校マスタ!$R57&lt;I$3+7,学校マスタ!$U57&gt;=I$3),"▒","")))))</f>
        <v/>
      </c>
      <c r="J59" s="26">
        <f>IF(学校マスタ!$A57="","",IF(AND(学校マスタ!$U57&lt;&gt;"",学校マスタ!$U57&gt;=J$3,学校マスタ!$U57&lt;J$3+7),"◎",IF(OR(AND(学校マスタ!$H57&lt;&gt;"",学校マスタ!$H57&gt;=J$3,学校マスタ!$H57&lt;J$3+7),AND(学校マスタ!$J57&lt;&gt;"",学校マスタ!$J57&gt;=J$3,学校マスタ!$J57&lt;J$3+7),AND(学校マスタ!$L57&lt;&gt;"",学校マスタ!$L57&gt;=J$3,学校マスタ!$L57&lt;J$3+7)),"◆",IF(AND(学校マスタ!$O57&lt;&gt;"",学校マスタ!$P57&lt;&gt;"",学校マスタ!$O57&lt;J$3+7,学校マスタ!$P57&gt;=J$3),"█",IF(AND(学校マスタ!$R57&lt;&gt;"",学校マスタ!$U57&lt;&gt;"",学校マスタ!$R57&lt;J$3+7,学校マスタ!$U57&gt;=J$3),"▒","")))))</f>
        <v/>
      </c>
      <c r="K59" s="26">
        <f>IF(学校マスタ!$A57="","",IF(AND(学校マスタ!$U57&lt;&gt;"",学校マスタ!$U57&gt;=K$3,学校マスタ!$U57&lt;K$3+7),"◎",IF(OR(AND(学校マスタ!$H57&lt;&gt;"",学校マスタ!$H57&gt;=K$3,学校マスタ!$H57&lt;K$3+7),AND(学校マスタ!$J57&lt;&gt;"",学校マスタ!$J57&gt;=K$3,学校マスタ!$J57&lt;K$3+7),AND(学校マスタ!$L57&lt;&gt;"",学校マスタ!$L57&gt;=K$3,学校マスタ!$L57&lt;K$3+7)),"◆",IF(AND(学校マスタ!$O57&lt;&gt;"",学校マスタ!$P57&lt;&gt;"",学校マスタ!$O57&lt;K$3+7,学校マスタ!$P57&gt;=K$3),"█",IF(AND(学校マスタ!$R57&lt;&gt;"",学校マスタ!$U57&lt;&gt;"",学校マスタ!$R57&lt;K$3+7,学校マスタ!$U57&gt;=K$3),"▒","")))))</f>
        <v/>
      </c>
      <c r="L59" s="26">
        <f>IF(学校マスタ!$A57="","",IF(AND(学校マスタ!$U57&lt;&gt;"",学校マスタ!$U57&gt;=L$3,学校マスタ!$U57&lt;L$3+7),"◎",IF(OR(AND(学校マスタ!$H57&lt;&gt;"",学校マスタ!$H57&gt;=L$3,学校マスタ!$H57&lt;L$3+7),AND(学校マスタ!$J57&lt;&gt;"",学校マスタ!$J57&gt;=L$3,学校マスタ!$J57&lt;L$3+7),AND(学校マスタ!$L57&lt;&gt;"",学校マスタ!$L57&gt;=L$3,学校マスタ!$L57&lt;L$3+7)),"◆",IF(AND(学校マスタ!$O57&lt;&gt;"",学校マスタ!$P57&lt;&gt;"",学校マスタ!$O57&lt;L$3+7,学校マスタ!$P57&gt;=L$3),"█",IF(AND(学校マスタ!$R57&lt;&gt;"",学校マスタ!$U57&lt;&gt;"",学校マスタ!$R57&lt;L$3+7,学校マスタ!$U57&gt;=L$3),"▒","")))))</f>
        <v/>
      </c>
      <c r="M59" s="26">
        <f>IF(学校マスタ!$A57="","",IF(AND(学校マスタ!$U57&lt;&gt;"",学校マスタ!$U57&gt;=M$3,学校マスタ!$U57&lt;M$3+7),"◎",IF(OR(AND(学校マスタ!$H57&lt;&gt;"",学校マスタ!$H57&gt;=M$3,学校マスタ!$H57&lt;M$3+7),AND(学校マスタ!$J57&lt;&gt;"",学校マスタ!$J57&gt;=M$3,学校マスタ!$J57&lt;M$3+7),AND(学校マスタ!$L57&lt;&gt;"",学校マスタ!$L57&gt;=M$3,学校マスタ!$L57&lt;M$3+7)),"◆",IF(AND(学校マスタ!$O57&lt;&gt;"",学校マスタ!$P57&lt;&gt;"",学校マスタ!$O57&lt;M$3+7,学校マスタ!$P57&gt;=M$3),"█",IF(AND(学校マスタ!$R57&lt;&gt;"",学校マスタ!$U57&lt;&gt;"",学校マスタ!$R57&lt;M$3+7,学校マスタ!$U57&gt;=M$3),"▒","")))))</f>
        <v/>
      </c>
      <c r="N59" s="26">
        <f>IF(学校マスタ!$A57="","",IF(AND(学校マスタ!$U57&lt;&gt;"",学校マスタ!$U57&gt;=N$3,学校マスタ!$U57&lt;N$3+7),"◎",IF(OR(AND(学校マスタ!$H57&lt;&gt;"",学校マスタ!$H57&gt;=N$3,学校マスタ!$H57&lt;N$3+7),AND(学校マスタ!$J57&lt;&gt;"",学校マスタ!$J57&gt;=N$3,学校マスタ!$J57&lt;N$3+7),AND(学校マスタ!$L57&lt;&gt;"",学校マスタ!$L57&gt;=N$3,学校マスタ!$L57&lt;N$3+7)),"◆",IF(AND(学校マスタ!$O57&lt;&gt;"",学校マスタ!$P57&lt;&gt;"",学校マスタ!$O57&lt;N$3+7,学校マスタ!$P57&gt;=N$3),"█",IF(AND(学校マスタ!$R57&lt;&gt;"",学校マスタ!$U57&lt;&gt;"",学校マスタ!$R57&lt;N$3+7,学校マスタ!$U57&gt;=N$3),"▒","")))))</f>
        <v/>
      </c>
      <c r="O59" s="26">
        <f>IF(学校マスタ!$A57="","",IF(AND(学校マスタ!$U57&lt;&gt;"",学校マスタ!$U57&gt;=O$3,学校マスタ!$U57&lt;O$3+7),"◎",IF(OR(AND(学校マスタ!$H57&lt;&gt;"",学校マスタ!$H57&gt;=O$3,学校マスタ!$H57&lt;O$3+7),AND(学校マスタ!$J57&lt;&gt;"",学校マスタ!$J57&gt;=O$3,学校マスタ!$J57&lt;O$3+7),AND(学校マスタ!$L57&lt;&gt;"",学校マスタ!$L57&gt;=O$3,学校マスタ!$L57&lt;O$3+7)),"◆",IF(AND(学校マスタ!$O57&lt;&gt;"",学校マスタ!$P57&lt;&gt;"",学校マスタ!$O57&lt;O$3+7,学校マスタ!$P57&gt;=O$3),"█",IF(AND(学校マスタ!$R57&lt;&gt;"",学校マスタ!$U57&lt;&gt;"",学校マスタ!$R57&lt;O$3+7,学校マスタ!$U57&gt;=O$3),"▒","")))))</f>
        <v/>
      </c>
      <c r="P59" s="26">
        <f>IF(学校マスタ!$A57="","",IF(AND(学校マスタ!$U57&lt;&gt;"",学校マスタ!$U57&gt;=P$3,学校マスタ!$U57&lt;P$3+7),"◎",IF(OR(AND(学校マスタ!$H57&lt;&gt;"",学校マスタ!$H57&gt;=P$3,学校マスタ!$H57&lt;P$3+7),AND(学校マスタ!$J57&lt;&gt;"",学校マスタ!$J57&gt;=P$3,学校マスタ!$J57&lt;P$3+7),AND(学校マスタ!$L57&lt;&gt;"",学校マスタ!$L57&gt;=P$3,学校マスタ!$L57&lt;P$3+7)),"◆",IF(AND(学校マスタ!$O57&lt;&gt;"",学校マスタ!$P57&lt;&gt;"",学校マスタ!$O57&lt;P$3+7,学校マスタ!$P57&gt;=P$3),"█",IF(AND(学校マスタ!$R57&lt;&gt;"",学校マスタ!$U57&lt;&gt;"",学校マスタ!$R57&lt;P$3+7,学校マスタ!$U57&gt;=P$3),"▒","")))))</f>
        <v/>
      </c>
      <c r="Q59" s="26">
        <f>IF(学校マスタ!$A57="","",IF(AND(学校マスタ!$U57&lt;&gt;"",学校マスタ!$U57&gt;=Q$3,学校マスタ!$U57&lt;Q$3+7),"◎",IF(OR(AND(学校マスタ!$H57&lt;&gt;"",学校マスタ!$H57&gt;=Q$3,学校マスタ!$H57&lt;Q$3+7),AND(学校マスタ!$J57&lt;&gt;"",学校マスタ!$J57&gt;=Q$3,学校マスタ!$J57&lt;Q$3+7),AND(学校マスタ!$L57&lt;&gt;"",学校マスタ!$L57&gt;=Q$3,学校マスタ!$L57&lt;Q$3+7)),"◆",IF(AND(学校マスタ!$O57&lt;&gt;"",学校マスタ!$P57&lt;&gt;"",学校マスタ!$O57&lt;Q$3+7,学校マスタ!$P57&gt;=Q$3),"█",IF(AND(学校マスタ!$R57&lt;&gt;"",学校マスタ!$U57&lt;&gt;"",学校マスタ!$R57&lt;Q$3+7,学校マスタ!$U57&gt;=Q$3),"▒","")))))</f>
        <v/>
      </c>
      <c r="R59" s="26">
        <f>IF(学校マスタ!$A57="","",IF(AND(学校マスタ!$U57&lt;&gt;"",学校マスタ!$U57&gt;=R$3,学校マスタ!$U57&lt;R$3+7),"◎",IF(OR(AND(学校マスタ!$H57&lt;&gt;"",学校マスタ!$H57&gt;=R$3,学校マスタ!$H57&lt;R$3+7),AND(学校マスタ!$J57&lt;&gt;"",学校マスタ!$J57&gt;=R$3,学校マスタ!$J57&lt;R$3+7),AND(学校マスタ!$L57&lt;&gt;"",学校マスタ!$L57&gt;=R$3,学校マスタ!$L57&lt;R$3+7)),"◆",IF(AND(学校マスタ!$O57&lt;&gt;"",学校マスタ!$P57&lt;&gt;"",学校マスタ!$O57&lt;R$3+7,学校マスタ!$P57&gt;=R$3),"█",IF(AND(学校マスタ!$R57&lt;&gt;"",学校マスタ!$U57&lt;&gt;"",学校マスタ!$R57&lt;R$3+7,学校マスタ!$U57&gt;=R$3),"▒","")))))</f>
        <v/>
      </c>
      <c r="S59" s="26">
        <f>IF(学校マスタ!$A57="","",IF(AND(学校マスタ!$U57&lt;&gt;"",学校マスタ!$U57&gt;=S$3,学校マスタ!$U57&lt;S$3+7),"◎",IF(OR(AND(学校マスタ!$H57&lt;&gt;"",学校マスタ!$H57&gt;=S$3,学校マスタ!$H57&lt;S$3+7),AND(学校マスタ!$J57&lt;&gt;"",学校マスタ!$J57&gt;=S$3,学校マスタ!$J57&lt;S$3+7),AND(学校マスタ!$L57&lt;&gt;"",学校マスタ!$L57&gt;=S$3,学校マスタ!$L57&lt;S$3+7)),"◆",IF(AND(学校マスタ!$O57&lt;&gt;"",学校マスタ!$P57&lt;&gt;"",学校マスタ!$O57&lt;S$3+7,学校マスタ!$P57&gt;=S$3),"█",IF(AND(学校マスタ!$R57&lt;&gt;"",学校マスタ!$U57&lt;&gt;"",学校マスタ!$R57&lt;S$3+7,学校マスタ!$U57&gt;=S$3),"▒","")))))</f>
        <v/>
      </c>
      <c r="T59" s="26">
        <f>IF(学校マスタ!$A57="","",IF(AND(学校マスタ!$U57&lt;&gt;"",学校マスタ!$U57&gt;=T$3,学校マスタ!$U57&lt;T$3+7),"◎",IF(OR(AND(学校マスタ!$H57&lt;&gt;"",学校マスタ!$H57&gt;=T$3,学校マスタ!$H57&lt;T$3+7),AND(学校マスタ!$J57&lt;&gt;"",学校マスタ!$J57&gt;=T$3,学校マスタ!$J57&lt;T$3+7),AND(学校マスタ!$L57&lt;&gt;"",学校マスタ!$L57&gt;=T$3,学校マスタ!$L57&lt;T$3+7)),"◆",IF(AND(学校マスタ!$O57&lt;&gt;"",学校マスタ!$P57&lt;&gt;"",学校マスタ!$O57&lt;T$3+7,学校マスタ!$P57&gt;=T$3),"█",IF(AND(学校マスタ!$R57&lt;&gt;"",学校マスタ!$U57&lt;&gt;"",学校マスタ!$R57&lt;T$3+7,学校マスタ!$U57&gt;=T$3),"▒","")))))</f>
        <v/>
      </c>
      <c r="U59" s="26">
        <f>IF(学校マスタ!$A57="","",IF(AND(学校マスタ!$U57&lt;&gt;"",学校マスタ!$U57&gt;=U$3,学校マスタ!$U57&lt;U$3+7),"◎",IF(OR(AND(学校マスタ!$H57&lt;&gt;"",学校マスタ!$H57&gt;=U$3,学校マスタ!$H57&lt;U$3+7),AND(学校マスタ!$J57&lt;&gt;"",学校マスタ!$J57&gt;=U$3,学校マスタ!$J57&lt;U$3+7),AND(学校マスタ!$L57&lt;&gt;"",学校マスタ!$L57&gt;=U$3,学校マスタ!$L57&lt;U$3+7)),"◆",IF(AND(学校マスタ!$O57&lt;&gt;"",学校マスタ!$P57&lt;&gt;"",学校マスタ!$O57&lt;U$3+7,学校マスタ!$P57&gt;=U$3),"█",IF(AND(学校マスタ!$R57&lt;&gt;"",学校マスタ!$U57&lt;&gt;"",学校マスタ!$R57&lt;U$3+7,学校マスタ!$U57&gt;=U$3),"▒","")))))</f>
        <v/>
      </c>
      <c r="V59" s="26">
        <f>IF(学校マスタ!$A57="","",IF(AND(学校マスタ!$U57&lt;&gt;"",学校マスタ!$U57&gt;=V$3,学校マスタ!$U57&lt;V$3+7),"◎",IF(OR(AND(学校マスタ!$H57&lt;&gt;"",学校マスタ!$H57&gt;=V$3,学校マスタ!$H57&lt;V$3+7),AND(学校マスタ!$J57&lt;&gt;"",学校マスタ!$J57&gt;=V$3,学校マスタ!$J57&lt;V$3+7),AND(学校マスタ!$L57&lt;&gt;"",学校マスタ!$L57&gt;=V$3,学校マスタ!$L57&lt;V$3+7)),"◆",IF(AND(学校マスタ!$O57&lt;&gt;"",学校マスタ!$P57&lt;&gt;"",学校マスタ!$O57&lt;V$3+7,学校マスタ!$P57&gt;=V$3),"█",IF(AND(学校マスタ!$R57&lt;&gt;"",学校マスタ!$U57&lt;&gt;"",学校マスタ!$R57&lt;V$3+7,学校マスタ!$U57&gt;=V$3),"▒","")))))</f>
        <v/>
      </c>
      <c r="W59" s="26">
        <f>IF(学校マスタ!$A57="","",IF(AND(学校マスタ!$U57&lt;&gt;"",学校マスタ!$U57&gt;=W$3,学校マスタ!$U57&lt;W$3+7),"◎",IF(OR(AND(学校マスタ!$H57&lt;&gt;"",学校マスタ!$H57&gt;=W$3,学校マスタ!$H57&lt;W$3+7),AND(学校マスタ!$J57&lt;&gt;"",学校マスタ!$J57&gt;=W$3,学校マスタ!$J57&lt;W$3+7),AND(学校マスタ!$L57&lt;&gt;"",学校マスタ!$L57&gt;=W$3,学校マスタ!$L57&lt;W$3+7)),"◆",IF(AND(学校マスタ!$O57&lt;&gt;"",学校マスタ!$P57&lt;&gt;"",学校マスタ!$O57&lt;W$3+7,学校マスタ!$P57&gt;=W$3),"█",IF(AND(学校マスタ!$R57&lt;&gt;"",学校マスタ!$U57&lt;&gt;"",学校マスタ!$R57&lt;W$3+7,学校マスタ!$U57&gt;=W$3),"▒","")))))</f>
        <v/>
      </c>
      <c r="X59" s="26">
        <f>IF(学校マスタ!$A57="","",IF(AND(学校マスタ!$U57&lt;&gt;"",学校マスタ!$U57&gt;=X$3,学校マスタ!$U57&lt;X$3+7),"◎",IF(OR(AND(学校マスタ!$H57&lt;&gt;"",学校マスタ!$H57&gt;=X$3,学校マスタ!$H57&lt;X$3+7),AND(学校マスタ!$J57&lt;&gt;"",学校マスタ!$J57&gt;=X$3,学校マスタ!$J57&lt;X$3+7),AND(学校マスタ!$L57&lt;&gt;"",学校マスタ!$L57&gt;=X$3,学校マスタ!$L57&lt;X$3+7)),"◆",IF(AND(学校マスタ!$O57&lt;&gt;"",学校マスタ!$P57&lt;&gt;"",学校マスタ!$O57&lt;X$3+7,学校マスタ!$P57&gt;=X$3),"█",IF(AND(学校マスタ!$R57&lt;&gt;"",学校マスタ!$U57&lt;&gt;"",学校マスタ!$R57&lt;X$3+7,学校マスタ!$U57&gt;=X$3),"▒","")))))</f>
        <v/>
      </c>
      <c r="Y59" s="26">
        <f>IF(学校マスタ!$A57="","",IF(AND(学校マスタ!$U57&lt;&gt;"",学校マスタ!$U57&gt;=Y$3,学校マスタ!$U57&lt;Y$3+7),"◎",IF(OR(AND(学校マスタ!$H57&lt;&gt;"",学校マスタ!$H57&gt;=Y$3,学校マスタ!$H57&lt;Y$3+7),AND(学校マスタ!$J57&lt;&gt;"",学校マスタ!$J57&gt;=Y$3,学校マスタ!$J57&lt;Y$3+7),AND(学校マスタ!$L57&lt;&gt;"",学校マスタ!$L57&gt;=Y$3,学校マスタ!$L57&lt;Y$3+7)),"◆",IF(AND(学校マスタ!$O57&lt;&gt;"",学校マスタ!$P57&lt;&gt;"",学校マスタ!$O57&lt;Y$3+7,学校マスタ!$P57&gt;=Y$3),"█",IF(AND(学校マスタ!$R57&lt;&gt;"",学校マスタ!$U57&lt;&gt;"",学校マスタ!$R57&lt;Y$3+7,学校マスタ!$U57&gt;=Y$3),"▒","")))))</f>
        <v/>
      </c>
      <c r="Z59" s="26">
        <f>IF(学校マスタ!$A57="","",IF(AND(学校マスタ!$U57&lt;&gt;"",学校マスタ!$U57&gt;=Z$3,学校マスタ!$U57&lt;Z$3+7),"◎",IF(OR(AND(学校マスタ!$H57&lt;&gt;"",学校マスタ!$H57&gt;=Z$3,学校マスタ!$H57&lt;Z$3+7),AND(学校マスタ!$J57&lt;&gt;"",学校マスタ!$J57&gt;=Z$3,学校マスタ!$J57&lt;Z$3+7),AND(学校マスタ!$L57&lt;&gt;"",学校マスタ!$L57&gt;=Z$3,学校マスタ!$L57&lt;Z$3+7)),"◆",IF(AND(学校マスタ!$O57&lt;&gt;"",学校マスタ!$P57&lt;&gt;"",学校マスタ!$O57&lt;Z$3+7,学校マスタ!$P57&gt;=Z$3),"█",IF(AND(学校マスタ!$R57&lt;&gt;"",学校マスタ!$U57&lt;&gt;"",学校マスタ!$R57&lt;Z$3+7,学校マスタ!$U57&gt;=Z$3),"▒","")))))</f>
        <v/>
      </c>
      <c r="AA59" s="26">
        <f>IF(学校マスタ!$A57="","",IF(AND(学校マスタ!$U57&lt;&gt;"",学校マスタ!$U57&gt;=AA$3,学校マスタ!$U57&lt;AA$3+7),"◎",IF(OR(AND(学校マスタ!$H57&lt;&gt;"",学校マスタ!$H57&gt;=AA$3,学校マスタ!$H57&lt;AA$3+7),AND(学校マスタ!$J57&lt;&gt;"",学校マスタ!$J57&gt;=AA$3,学校マスタ!$J57&lt;AA$3+7),AND(学校マスタ!$L57&lt;&gt;"",学校マスタ!$L57&gt;=AA$3,学校マスタ!$L57&lt;AA$3+7)),"◆",IF(AND(学校マスタ!$O57&lt;&gt;"",学校マスタ!$P57&lt;&gt;"",学校マスタ!$O57&lt;AA$3+7,学校マスタ!$P57&gt;=AA$3),"█",IF(AND(学校マスタ!$R57&lt;&gt;"",学校マスタ!$U57&lt;&gt;"",学校マスタ!$R57&lt;AA$3+7,学校マスタ!$U57&gt;=AA$3),"▒","")))))</f>
        <v/>
      </c>
      <c r="AB59" s="26">
        <f>IF(学校マスタ!$A57="","",IF(AND(学校マスタ!$U57&lt;&gt;"",学校マスタ!$U57&gt;=AB$3,学校マスタ!$U57&lt;AB$3+7),"◎",IF(OR(AND(学校マスタ!$H57&lt;&gt;"",学校マスタ!$H57&gt;=AB$3,学校マスタ!$H57&lt;AB$3+7),AND(学校マスタ!$J57&lt;&gt;"",学校マスタ!$J57&gt;=AB$3,学校マスタ!$J57&lt;AB$3+7),AND(学校マスタ!$L57&lt;&gt;"",学校マスタ!$L57&gt;=AB$3,学校マスタ!$L57&lt;AB$3+7)),"◆",IF(AND(学校マスタ!$O57&lt;&gt;"",学校マスタ!$P57&lt;&gt;"",学校マスタ!$O57&lt;AB$3+7,学校マスタ!$P57&gt;=AB$3),"█",IF(AND(学校マスタ!$R57&lt;&gt;"",学校マスタ!$U57&lt;&gt;"",学校マスタ!$R57&lt;AB$3+7,学校マスタ!$U57&gt;=AB$3),"▒","")))))</f>
        <v/>
      </c>
    </row>
    <row r="60">
      <c r="A60" s="19">
        <f>IF(学校マスタ!$A58="","",学校マスタ!$A58)</f>
        <v/>
      </c>
      <c r="B60" s="19">
        <f>IF(学校マスタ!$A58="","",学校マスタ!$C58)</f>
        <v/>
      </c>
      <c r="C60" s="19">
        <f>IF(学校マスタ!$A58="","",学校マスタ!$X58)</f>
        <v/>
      </c>
      <c r="D60" s="25">
        <f>IF(学校マスタ!$A58="","",学校マスタ!$R58)</f>
        <v/>
      </c>
      <c r="E60" s="26">
        <f>IF(学校マスタ!$A58="","",IF(AND(学校マスタ!$U58&lt;&gt;"",学校マスタ!$U58&gt;=E$3,学校マスタ!$U58&lt;E$3+7),"◎",IF(OR(AND(学校マスタ!$H58&lt;&gt;"",学校マスタ!$H58&gt;=E$3,学校マスタ!$H58&lt;E$3+7),AND(学校マスタ!$J58&lt;&gt;"",学校マスタ!$J58&gt;=E$3,学校マスタ!$J58&lt;E$3+7),AND(学校マスタ!$L58&lt;&gt;"",学校マスタ!$L58&gt;=E$3,学校マスタ!$L58&lt;E$3+7)),"◆",IF(AND(学校マスタ!$O58&lt;&gt;"",学校マスタ!$P58&lt;&gt;"",学校マスタ!$O58&lt;E$3+7,学校マスタ!$P58&gt;=E$3),"█",IF(AND(学校マスタ!$R58&lt;&gt;"",学校マスタ!$U58&lt;&gt;"",学校マスタ!$R58&lt;E$3+7,学校マスタ!$U58&gt;=E$3),"▒","")))))</f>
        <v/>
      </c>
      <c r="F60" s="26">
        <f>IF(学校マスタ!$A58="","",IF(AND(学校マスタ!$U58&lt;&gt;"",学校マスタ!$U58&gt;=F$3,学校マスタ!$U58&lt;F$3+7),"◎",IF(OR(AND(学校マスタ!$H58&lt;&gt;"",学校マスタ!$H58&gt;=F$3,学校マスタ!$H58&lt;F$3+7),AND(学校マスタ!$J58&lt;&gt;"",学校マスタ!$J58&gt;=F$3,学校マスタ!$J58&lt;F$3+7),AND(学校マスタ!$L58&lt;&gt;"",学校マスタ!$L58&gt;=F$3,学校マスタ!$L58&lt;F$3+7)),"◆",IF(AND(学校マスタ!$O58&lt;&gt;"",学校マスタ!$P58&lt;&gt;"",学校マスタ!$O58&lt;F$3+7,学校マスタ!$P58&gt;=F$3),"█",IF(AND(学校マスタ!$R58&lt;&gt;"",学校マスタ!$U58&lt;&gt;"",学校マスタ!$R58&lt;F$3+7,学校マスタ!$U58&gt;=F$3),"▒","")))))</f>
        <v/>
      </c>
      <c r="G60" s="26">
        <f>IF(学校マスタ!$A58="","",IF(AND(学校マスタ!$U58&lt;&gt;"",学校マスタ!$U58&gt;=G$3,学校マスタ!$U58&lt;G$3+7),"◎",IF(OR(AND(学校マスタ!$H58&lt;&gt;"",学校マスタ!$H58&gt;=G$3,学校マスタ!$H58&lt;G$3+7),AND(学校マスタ!$J58&lt;&gt;"",学校マスタ!$J58&gt;=G$3,学校マスタ!$J58&lt;G$3+7),AND(学校マスタ!$L58&lt;&gt;"",学校マスタ!$L58&gt;=G$3,学校マスタ!$L58&lt;G$3+7)),"◆",IF(AND(学校マスタ!$O58&lt;&gt;"",学校マスタ!$P58&lt;&gt;"",学校マスタ!$O58&lt;G$3+7,学校マスタ!$P58&gt;=G$3),"█",IF(AND(学校マスタ!$R58&lt;&gt;"",学校マスタ!$U58&lt;&gt;"",学校マスタ!$R58&lt;G$3+7,学校マスタ!$U58&gt;=G$3),"▒","")))))</f>
        <v/>
      </c>
      <c r="H60" s="26">
        <f>IF(学校マスタ!$A58="","",IF(AND(学校マスタ!$U58&lt;&gt;"",学校マスタ!$U58&gt;=H$3,学校マスタ!$U58&lt;H$3+7),"◎",IF(OR(AND(学校マスタ!$H58&lt;&gt;"",学校マスタ!$H58&gt;=H$3,学校マスタ!$H58&lt;H$3+7),AND(学校マスタ!$J58&lt;&gt;"",学校マスタ!$J58&gt;=H$3,学校マスタ!$J58&lt;H$3+7),AND(学校マスタ!$L58&lt;&gt;"",学校マスタ!$L58&gt;=H$3,学校マスタ!$L58&lt;H$3+7)),"◆",IF(AND(学校マスタ!$O58&lt;&gt;"",学校マスタ!$P58&lt;&gt;"",学校マスタ!$O58&lt;H$3+7,学校マスタ!$P58&gt;=H$3),"█",IF(AND(学校マスタ!$R58&lt;&gt;"",学校マスタ!$U58&lt;&gt;"",学校マスタ!$R58&lt;H$3+7,学校マスタ!$U58&gt;=H$3),"▒","")))))</f>
        <v/>
      </c>
      <c r="I60" s="26">
        <f>IF(学校マスタ!$A58="","",IF(AND(学校マスタ!$U58&lt;&gt;"",学校マスタ!$U58&gt;=I$3,学校マスタ!$U58&lt;I$3+7),"◎",IF(OR(AND(学校マスタ!$H58&lt;&gt;"",学校マスタ!$H58&gt;=I$3,学校マスタ!$H58&lt;I$3+7),AND(学校マスタ!$J58&lt;&gt;"",学校マスタ!$J58&gt;=I$3,学校マスタ!$J58&lt;I$3+7),AND(学校マスタ!$L58&lt;&gt;"",学校マスタ!$L58&gt;=I$3,学校マスタ!$L58&lt;I$3+7)),"◆",IF(AND(学校マスタ!$O58&lt;&gt;"",学校マスタ!$P58&lt;&gt;"",学校マスタ!$O58&lt;I$3+7,学校マスタ!$P58&gt;=I$3),"█",IF(AND(学校マスタ!$R58&lt;&gt;"",学校マスタ!$U58&lt;&gt;"",学校マスタ!$R58&lt;I$3+7,学校マスタ!$U58&gt;=I$3),"▒","")))))</f>
        <v/>
      </c>
      <c r="J60" s="26">
        <f>IF(学校マスタ!$A58="","",IF(AND(学校マスタ!$U58&lt;&gt;"",学校マスタ!$U58&gt;=J$3,学校マスタ!$U58&lt;J$3+7),"◎",IF(OR(AND(学校マスタ!$H58&lt;&gt;"",学校マスタ!$H58&gt;=J$3,学校マスタ!$H58&lt;J$3+7),AND(学校マスタ!$J58&lt;&gt;"",学校マスタ!$J58&gt;=J$3,学校マスタ!$J58&lt;J$3+7),AND(学校マスタ!$L58&lt;&gt;"",学校マスタ!$L58&gt;=J$3,学校マスタ!$L58&lt;J$3+7)),"◆",IF(AND(学校マスタ!$O58&lt;&gt;"",学校マスタ!$P58&lt;&gt;"",学校マスタ!$O58&lt;J$3+7,学校マスタ!$P58&gt;=J$3),"█",IF(AND(学校マスタ!$R58&lt;&gt;"",学校マスタ!$U58&lt;&gt;"",学校マスタ!$R58&lt;J$3+7,学校マスタ!$U58&gt;=J$3),"▒","")))))</f>
        <v/>
      </c>
      <c r="K60" s="26">
        <f>IF(学校マスタ!$A58="","",IF(AND(学校マスタ!$U58&lt;&gt;"",学校マスタ!$U58&gt;=K$3,学校マスタ!$U58&lt;K$3+7),"◎",IF(OR(AND(学校マスタ!$H58&lt;&gt;"",学校マスタ!$H58&gt;=K$3,学校マスタ!$H58&lt;K$3+7),AND(学校マスタ!$J58&lt;&gt;"",学校マスタ!$J58&gt;=K$3,学校マスタ!$J58&lt;K$3+7),AND(学校マスタ!$L58&lt;&gt;"",学校マスタ!$L58&gt;=K$3,学校マスタ!$L58&lt;K$3+7)),"◆",IF(AND(学校マスタ!$O58&lt;&gt;"",学校マスタ!$P58&lt;&gt;"",学校マスタ!$O58&lt;K$3+7,学校マスタ!$P58&gt;=K$3),"█",IF(AND(学校マスタ!$R58&lt;&gt;"",学校マスタ!$U58&lt;&gt;"",学校マスタ!$R58&lt;K$3+7,学校マスタ!$U58&gt;=K$3),"▒","")))))</f>
        <v/>
      </c>
      <c r="L60" s="26">
        <f>IF(学校マスタ!$A58="","",IF(AND(学校マスタ!$U58&lt;&gt;"",学校マスタ!$U58&gt;=L$3,学校マスタ!$U58&lt;L$3+7),"◎",IF(OR(AND(学校マスタ!$H58&lt;&gt;"",学校マスタ!$H58&gt;=L$3,学校マスタ!$H58&lt;L$3+7),AND(学校マスタ!$J58&lt;&gt;"",学校マスタ!$J58&gt;=L$3,学校マスタ!$J58&lt;L$3+7),AND(学校マスタ!$L58&lt;&gt;"",学校マスタ!$L58&gt;=L$3,学校マスタ!$L58&lt;L$3+7)),"◆",IF(AND(学校マスタ!$O58&lt;&gt;"",学校マスタ!$P58&lt;&gt;"",学校マスタ!$O58&lt;L$3+7,学校マスタ!$P58&gt;=L$3),"█",IF(AND(学校マスタ!$R58&lt;&gt;"",学校マスタ!$U58&lt;&gt;"",学校マスタ!$R58&lt;L$3+7,学校マスタ!$U58&gt;=L$3),"▒","")))))</f>
        <v/>
      </c>
      <c r="M60" s="26">
        <f>IF(学校マスタ!$A58="","",IF(AND(学校マスタ!$U58&lt;&gt;"",学校マスタ!$U58&gt;=M$3,学校マスタ!$U58&lt;M$3+7),"◎",IF(OR(AND(学校マスタ!$H58&lt;&gt;"",学校マスタ!$H58&gt;=M$3,学校マスタ!$H58&lt;M$3+7),AND(学校マスタ!$J58&lt;&gt;"",学校マスタ!$J58&gt;=M$3,学校マスタ!$J58&lt;M$3+7),AND(学校マスタ!$L58&lt;&gt;"",学校マスタ!$L58&gt;=M$3,学校マスタ!$L58&lt;M$3+7)),"◆",IF(AND(学校マスタ!$O58&lt;&gt;"",学校マスタ!$P58&lt;&gt;"",学校マスタ!$O58&lt;M$3+7,学校マスタ!$P58&gt;=M$3),"█",IF(AND(学校マスタ!$R58&lt;&gt;"",学校マスタ!$U58&lt;&gt;"",学校マスタ!$R58&lt;M$3+7,学校マスタ!$U58&gt;=M$3),"▒","")))))</f>
        <v/>
      </c>
      <c r="N60" s="26">
        <f>IF(学校マスタ!$A58="","",IF(AND(学校マスタ!$U58&lt;&gt;"",学校マスタ!$U58&gt;=N$3,学校マスタ!$U58&lt;N$3+7),"◎",IF(OR(AND(学校マスタ!$H58&lt;&gt;"",学校マスタ!$H58&gt;=N$3,学校マスタ!$H58&lt;N$3+7),AND(学校マスタ!$J58&lt;&gt;"",学校マスタ!$J58&gt;=N$3,学校マスタ!$J58&lt;N$3+7),AND(学校マスタ!$L58&lt;&gt;"",学校マスタ!$L58&gt;=N$3,学校マスタ!$L58&lt;N$3+7)),"◆",IF(AND(学校マスタ!$O58&lt;&gt;"",学校マスタ!$P58&lt;&gt;"",学校マスタ!$O58&lt;N$3+7,学校マスタ!$P58&gt;=N$3),"█",IF(AND(学校マスタ!$R58&lt;&gt;"",学校マスタ!$U58&lt;&gt;"",学校マスタ!$R58&lt;N$3+7,学校マスタ!$U58&gt;=N$3),"▒","")))))</f>
        <v/>
      </c>
      <c r="O60" s="26">
        <f>IF(学校マスタ!$A58="","",IF(AND(学校マスタ!$U58&lt;&gt;"",学校マスタ!$U58&gt;=O$3,学校マスタ!$U58&lt;O$3+7),"◎",IF(OR(AND(学校マスタ!$H58&lt;&gt;"",学校マスタ!$H58&gt;=O$3,学校マスタ!$H58&lt;O$3+7),AND(学校マスタ!$J58&lt;&gt;"",学校マスタ!$J58&gt;=O$3,学校マスタ!$J58&lt;O$3+7),AND(学校マスタ!$L58&lt;&gt;"",学校マスタ!$L58&gt;=O$3,学校マスタ!$L58&lt;O$3+7)),"◆",IF(AND(学校マスタ!$O58&lt;&gt;"",学校マスタ!$P58&lt;&gt;"",学校マスタ!$O58&lt;O$3+7,学校マスタ!$P58&gt;=O$3),"█",IF(AND(学校マスタ!$R58&lt;&gt;"",学校マスタ!$U58&lt;&gt;"",学校マスタ!$R58&lt;O$3+7,学校マスタ!$U58&gt;=O$3),"▒","")))))</f>
        <v/>
      </c>
      <c r="P60" s="26">
        <f>IF(学校マスタ!$A58="","",IF(AND(学校マスタ!$U58&lt;&gt;"",学校マスタ!$U58&gt;=P$3,学校マスタ!$U58&lt;P$3+7),"◎",IF(OR(AND(学校マスタ!$H58&lt;&gt;"",学校マスタ!$H58&gt;=P$3,学校マスタ!$H58&lt;P$3+7),AND(学校マスタ!$J58&lt;&gt;"",学校マスタ!$J58&gt;=P$3,学校マスタ!$J58&lt;P$3+7),AND(学校マスタ!$L58&lt;&gt;"",学校マスタ!$L58&gt;=P$3,学校マスタ!$L58&lt;P$3+7)),"◆",IF(AND(学校マスタ!$O58&lt;&gt;"",学校マスタ!$P58&lt;&gt;"",学校マスタ!$O58&lt;P$3+7,学校マスタ!$P58&gt;=P$3),"█",IF(AND(学校マスタ!$R58&lt;&gt;"",学校マスタ!$U58&lt;&gt;"",学校マスタ!$R58&lt;P$3+7,学校マスタ!$U58&gt;=P$3),"▒","")))))</f>
        <v/>
      </c>
      <c r="Q60" s="26">
        <f>IF(学校マスタ!$A58="","",IF(AND(学校マスタ!$U58&lt;&gt;"",学校マスタ!$U58&gt;=Q$3,学校マスタ!$U58&lt;Q$3+7),"◎",IF(OR(AND(学校マスタ!$H58&lt;&gt;"",学校マスタ!$H58&gt;=Q$3,学校マスタ!$H58&lt;Q$3+7),AND(学校マスタ!$J58&lt;&gt;"",学校マスタ!$J58&gt;=Q$3,学校マスタ!$J58&lt;Q$3+7),AND(学校マスタ!$L58&lt;&gt;"",学校マスタ!$L58&gt;=Q$3,学校マスタ!$L58&lt;Q$3+7)),"◆",IF(AND(学校マスタ!$O58&lt;&gt;"",学校マスタ!$P58&lt;&gt;"",学校マスタ!$O58&lt;Q$3+7,学校マスタ!$P58&gt;=Q$3),"█",IF(AND(学校マスタ!$R58&lt;&gt;"",学校マスタ!$U58&lt;&gt;"",学校マスタ!$R58&lt;Q$3+7,学校マスタ!$U58&gt;=Q$3),"▒","")))))</f>
        <v/>
      </c>
      <c r="R60" s="26">
        <f>IF(学校マスタ!$A58="","",IF(AND(学校マスタ!$U58&lt;&gt;"",学校マスタ!$U58&gt;=R$3,学校マスタ!$U58&lt;R$3+7),"◎",IF(OR(AND(学校マスタ!$H58&lt;&gt;"",学校マスタ!$H58&gt;=R$3,学校マスタ!$H58&lt;R$3+7),AND(学校マスタ!$J58&lt;&gt;"",学校マスタ!$J58&gt;=R$3,学校マスタ!$J58&lt;R$3+7),AND(学校マスタ!$L58&lt;&gt;"",学校マスタ!$L58&gt;=R$3,学校マスタ!$L58&lt;R$3+7)),"◆",IF(AND(学校マスタ!$O58&lt;&gt;"",学校マスタ!$P58&lt;&gt;"",学校マスタ!$O58&lt;R$3+7,学校マスタ!$P58&gt;=R$3),"█",IF(AND(学校マスタ!$R58&lt;&gt;"",学校マスタ!$U58&lt;&gt;"",学校マスタ!$R58&lt;R$3+7,学校マスタ!$U58&gt;=R$3),"▒","")))))</f>
        <v/>
      </c>
      <c r="S60" s="26">
        <f>IF(学校マスタ!$A58="","",IF(AND(学校マスタ!$U58&lt;&gt;"",学校マスタ!$U58&gt;=S$3,学校マスタ!$U58&lt;S$3+7),"◎",IF(OR(AND(学校マスタ!$H58&lt;&gt;"",学校マスタ!$H58&gt;=S$3,学校マスタ!$H58&lt;S$3+7),AND(学校マスタ!$J58&lt;&gt;"",学校マスタ!$J58&gt;=S$3,学校マスタ!$J58&lt;S$3+7),AND(学校マスタ!$L58&lt;&gt;"",学校マスタ!$L58&gt;=S$3,学校マスタ!$L58&lt;S$3+7)),"◆",IF(AND(学校マスタ!$O58&lt;&gt;"",学校マスタ!$P58&lt;&gt;"",学校マスタ!$O58&lt;S$3+7,学校マスタ!$P58&gt;=S$3),"█",IF(AND(学校マスタ!$R58&lt;&gt;"",学校マスタ!$U58&lt;&gt;"",学校マスタ!$R58&lt;S$3+7,学校マスタ!$U58&gt;=S$3),"▒","")))))</f>
        <v/>
      </c>
      <c r="T60" s="26">
        <f>IF(学校マスタ!$A58="","",IF(AND(学校マスタ!$U58&lt;&gt;"",学校マスタ!$U58&gt;=T$3,学校マスタ!$U58&lt;T$3+7),"◎",IF(OR(AND(学校マスタ!$H58&lt;&gt;"",学校マスタ!$H58&gt;=T$3,学校マスタ!$H58&lt;T$3+7),AND(学校マスタ!$J58&lt;&gt;"",学校マスタ!$J58&gt;=T$3,学校マスタ!$J58&lt;T$3+7),AND(学校マスタ!$L58&lt;&gt;"",学校マスタ!$L58&gt;=T$3,学校マスタ!$L58&lt;T$3+7)),"◆",IF(AND(学校マスタ!$O58&lt;&gt;"",学校マスタ!$P58&lt;&gt;"",学校マスタ!$O58&lt;T$3+7,学校マスタ!$P58&gt;=T$3),"█",IF(AND(学校マスタ!$R58&lt;&gt;"",学校マスタ!$U58&lt;&gt;"",学校マスタ!$R58&lt;T$3+7,学校マスタ!$U58&gt;=T$3),"▒","")))))</f>
        <v/>
      </c>
      <c r="U60" s="26">
        <f>IF(学校マスタ!$A58="","",IF(AND(学校マスタ!$U58&lt;&gt;"",学校マスタ!$U58&gt;=U$3,学校マスタ!$U58&lt;U$3+7),"◎",IF(OR(AND(学校マスタ!$H58&lt;&gt;"",学校マスタ!$H58&gt;=U$3,学校マスタ!$H58&lt;U$3+7),AND(学校マスタ!$J58&lt;&gt;"",学校マスタ!$J58&gt;=U$3,学校マスタ!$J58&lt;U$3+7),AND(学校マスタ!$L58&lt;&gt;"",学校マスタ!$L58&gt;=U$3,学校マスタ!$L58&lt;U$3+7)),"◆",IF(AND(学校マスタ!$O58&lt;&gt;"",学校マスタ!$P58&lt;&gt;"",学校マスタ!$O58&lt;U$3+7,学校マスタ!$P58&gt;=U$3),"█",IF(AND(学校マスタ!$R58&lt;&gt;"",学校マスタ!$U58&lt;&gt;"",学校マスタ!$R58&lt;U$3+7,学校マスタ!$U58&gt;=U$3),"▒","")))))</f>
        <v/>
      </c>
      <c r="V60" s="26">
        <f>IF(学校マスタ!$A58="","",IF(AND(学校マスタ!$U58&lt;&gt;"",学校マスタ!$U58&gt;=V$3,学校マスタ!$U58&lt;V$3+7),"◎",IF(OR(AND(学校マスタ!$H58&lt;&gt;"",学校マスタ!$H58&gt;=V$3,学校マスタ!$H58&lt;V$3+7),AND(学校マスタ!$J58&lt;&gt;"",学校マスタ!$J58&gt;=V$3,学校マスタ!$J58&lt;V$3+7),AND(学校マスタ!$L58&lt;&gt;"",学校マスタ!$L58&gt;=V$3,学校マスタ!$L58&lt;V$3+7)),"◆",IF(AND(学校マスタ!$O58&lt;&gt;"",学校マスタ!$P58&lt;&gt;"",学校マスタ!$O58&lt;V$3+7,学校マスタ!$P58&gt;=V$3),"█",IF(AND(学校マスタ!$R58&lt;&gt;"",学校マスタ!$U58&lt;&gt;"",学校マスタ!$R58&lt;V$3+7,学校マスタ!$U58&gt;=V$3),"▒","")))))</f>
        <v/>
      </c>
      <c r="W60" s="26">
        <f>IF(学校マスタ!$A58="","",IF(AND(学校マスタ!$U58&lt;&gt;"",学校マスタ!$U58&gt;=W$3,学校マスタ!$U58&lt;W$3+7),"◎",IF(OR(AND(学校マスタ!$H58&lt;&gt;"",学校マスタ!$H58&gt;=W$3,学校マスタ!$H58&lt;W$3+7),AND(学校マスタ!$J58&lt;&gt;"",学校マスタ!$J58&gt;=W$3,学校マスタ!$J58&lt;W$3+7),AND(学校マスタ!$L58&lt;&gt;"",学校マスタ!$L58&gt;=W$3,学校マスタ!$L58&lt;W$3+7)),"◆",IF(AND(学校マスタ!$O58&lt;&gt;"",学校マスタ!$P58&lt;&gt;"",学校マスタ!$O58&lt;W$3+7,学校マスタ!$P58&gt;=W$3),"█",IF(AND(学校マスタ!$R58&lt;&gt;"",学校マスタ!$U58&lt;&gt;"",学校マスタ!$R58&lt;W$3+7,学校マスタ!$U58&gt;=W$3),"▒","")))))</f>
        <v/>
      </c>
      <c r="X60" s="26">
        <f>IF(学校マスタ!$A58="","",IF(AND(学校マスタ!$U58&lt;&gt;"",学校マスタ!$U58&gt;=X$3,学校マスタ!$U58&lt;X$3+7),"◎",IF(OR(AND(学校マスタ!$H58&lt;&gt;"",学校マスタ!$H58&gt;=X$3,学校マスタ!$H58&lt;X$3+7),AND(学校マスタ!$J58&lt;&gt;"",学校マスタ!$J58&gt;=X$3,学校マスタ!$J58&lt;X$3+7),AND(学校マスタ!$L58&lt;&gt;"",学校マスタ!$L58&gt;=X$3,学校マスタ!$L58&lt;X$3+7)),"◆",IF(AND(学校マスタ!$O58&lt;&gt;"",学校マスタ!$P58&lt;&gt;"",学校マスタ!$O58&lt;X$3+7,学校マスタ!$P58&gt;=X$3),"█",IF(AND(学校マスタ!$R58&lt;&gt;"",学校マスタ!$U58&lt;&gt;"",学校マスタ!$R58&lt;X$3+7,学校マスタ!$U58&gt;=X$3),"▒","")))))</f>
        <v/>
      </c>
      <c r="Y60" s="26">
        <f>IF(学校マスタ!$A58="","",IF(AND(学校マスタ!$U58&lt;&gt;"",学校マスタ!$U58&gt;=Y$3,学校マスタ!$U58&lt;Y$3+7),"◎",IF(OR(AND(学校マスタ!$H58&lt;&gt;"",学校マスタ!$H58&gt;=Y$3,学校マスタ!$H58&lt;Y$3+7),AND(学校マスタ!$J58&lt;&gt;"",学校マスタ!$J58&gt;=Y$3,学校マスタ!$J58&lt;Y$3+7),AND(学校マスタ!$L58&lt;&gt;"",学校マスタ!$L58&gt;=Y$3,学校マスタ!$L58&lt;Y$3+7)),"◆",IF(AND(学校マスタ!$O58&lt;&gt;"",学校マスタ!$P58&lt;&gt;"",学校マスタ!$O58&lt;Y$3+7,学校マスタ!$P58&gt;=Y$3),"█",IF(AND(学校マスタ!$R58&lt;&gt;"",学校マスタ!$U58&lt;&gt;"",学校マスタ!$R58&lt;Y$3+7,学校マスタ!$U58&gt;=Y$3),"▒","")))))</f>
        <v/>
      </c>
      <c r="Z60" s="26">
        <f>IF(学校マスタ!$A58="","",IF(AND(学校マスタ!$U58&lt;&gt;"",学校マスタ!$U58&gt;=Z$3,学校マスタ!$U58&lt;Z$3+7),"◎",IF(OR(AND(学校マスタ!$H58&lt;&gt;"",学校マスタ!$H58&gt;=Z$3,学校マスタ!$H58&lt;Z$3+7),AND(学校マスタ!$J58&lt;&gt;"",学校マスタ!$J58&gt;=Z$3,学校マスタ!$J58&lt;Z$3+7),AND(学校マスタ!$L58&lt;&gt;"",学校マスタ!$L58&gt;=Z$3,学校マスタ!$L58&lt;Z$3+7)),"◆",IF(AND(学校マスタ!$O58&lt;&gt;"",学校マスタ!$P58&lt;&gt;"",学校マスタ!$O58&lt;Z$3+7,学校マスタ!$P58&gt;=Z$3),"█",IF(AND(学校マスタ!$R58&lt;&gt;"",学校マスタ!$U58&lt;&gt;"",学校マスタ!$R58&lt;Z$3+7,学校マスタ!$U58&gt;=Z$3),"▒","")))))</f>
        <v/>
      </c>
      <c r="AA60" s="26">
        <f>IF(学校マスタ!$A58="","",IF(AND(学校マスタ!$U58&lt;&gt;"",学校マスタ!$U58&gt;=AA$3,学校マスタ!$U58&lt;AA$3+7),"◎",IF(OR(AND(学校マスタ!$H58&lt;&gt;"",学校マスタ!$H58&gt;=AA$3,学校マスタ!$H58&lt;AA$3+7),AND(学校マスタ!$J58&lt;&gt;"",学校マスタ!$J58&gt;=AA$3,学校マスタ!$J58&lt;AA$3+7),AND(学校マスタ!$L58&lt;&gt;"",学校マスタ!$L58&gt;=AA$3,学校マスタ!$L58&lt;AA$3+7)),"◆",IF(AND(学校マスタ!$O58&lt;&gt;"",学校マスタ!$P58&lt;&gt;"",学校マスタ!$O58&lt;AA$3+7,学校マスタ!$P58&gt;=AA$3),"█",IF(AND(学校マスタ!$R58&lt;&gt;"",学校マスタ!$U58&lt;&gt;"",学校マスタ!$R58&lt;AA$3+7,学校マスタ!$U58&gt;=AA$3),"▒","")))))</f>
        <v/>
      </c>
      <c r="AB60" s="26">
        <f>IF(学校マスタ!$A58="","",IF(AND(学校マスタ!$U58&lt;&gt;"",学校マスタ!$U58&gt;=AB$3,学校マスタ!$U58&lt;AB$3+7),"◎",IF(OR(AND(学校マスタ!$H58&lt;&gt;"",学校マスタ!$H58&gt;=AB$3,学校マスタ!$H58&lt;AB$3+7),AND(学校マスタ!$J58&lt;&gt;"",学校マスタ!$J58&gt;=AB$3,学校マスタ!$J58&lt;AB$3+7),AND(学校マスタ!$L58&lt;&gt;"",学校マスタ!$L58&gt;=AB$3,学校マスタ!$L58&lt;AB$3+7)),"◆",IF(AND(学校マスタ!$O58&lt;&gt;"",学校マスタ!$P58&lt;&gt;"",学校マスタ!$O58&lt;AB$3+7,学校マスタ!$P58&gt;=AB$3),"█",IF(AND(学校マスタ!$R58&lt;&gt;"",学校マスタ!$U58&lt;&gt;"",学校マスタ!$R58&lt;AB$3+7,学校マスタ!$U58&gt;=AB$3),"▒","")))))</f>
        <v/>
      </c>
    </row>
    <row r="61">
      <c r="A61" s="19">
        <f>IF(学校マスタ!$A59="","",学校マスタ!$A59)</f>
        <v/>
      </c>
      <c r="B61" s="19">
        <f>IF(学校マスタ!$A59="","",学校マスタ!$C59)</f>
        <v/>
      </c>
      <c r="C61" s="19">
        <f>IF(学校マスタ!$A59="","",学校マスタ!$X59)</f>
        <v/>
      </c>
      <c r="D61" s="25">
        <f>IF(学校マスタ!$A59="","",学校マスタ!$R59)</f>
        <v/>
      </c>
      <c r="E61" s="26">
        <f>IF(学校マスタ!$A59="","",IF(AND(学校マスタ!$U59&lt;&gt;"",学校マスタ!$U59&gt;=E$3,学校マスタ!$U59&lt;E$3+7),"◎",IF(OR(AND(学校マスタ!$H59&lt;&gt;"",学校マスタ!$H59&gt;=E$3,学校マスタ!$H59&lt;E$3+7),AND(学校マスタ!$J59&lt;&gt;"",学校マスタ!$J59&gt;=E$3,学校マスタ!$J59&lt;E$3+7),AND(学校マスタ!$L59&lt;&gt;"",学校マスタ!$L59&gt;=E$3,学校マスタ!$L59&lt;E$3+7)),"◆",IF(AND(学校マスタ!$O59&lt;&gt;"",学校マスタ!$P59&lt;&gt;"",学校マスタ!$O59&lt;E$3+7,学校マスタ!$P59&gt;=E$3),"█",IF(AND(学校マスタ!$R59&lt;&gt;"",学校マスタ!$U59&lt;&gt;"",学校マスタ!$R59&lt;E$3+7,学校マスタ!$U59&gt;=E$3),"▒","")))))</f>
        <v/>
      </c>
      <c r="F61" s="26">
        <f>IF(学校マスタ!$A59="","",IF(AND(学校マスタ!$U59&lt;&gt;"",学校マスタ!$U59&gt;=F$3,学校マスタ!$U59&lt;F$3+7),"◎",IF(OR(AND(学校マスタ!$H59&lt;&gt;"",学校マスタ!$H59&gt;=F$3,学校マスタ!$H59&lt;F$3+7),AND(学校マスタ!$J59&lt;&gt;"",学校マスタ!$J59&gt;=F$3,学校マスタ!$J59&lt;F$3+7),AND(学校マスタ!$L59&lt;&gt;"",学校マスタ!$L59&gt;=F$3,学校マスタ!$L59&lt;F$3+7)),"◆",IF(AND(学校マスタ!$O59&lt;&gt;"",学校マスタ!$P59&lt;&gt;"",学校マスタ!$O59&lt;F$3+7,学校マスタ!$P59&gt;=F$3),"█",IF(AND(学校マスタ!$R59&lt;&gt;"",学校マスタ!$U59&lt;&gt;"",学校マスタ!$R59&lt;F$3+7,学校マスタ!$U59&gt;=F$3),"▒","")))))</f>
        <v/>
      </c>
      <c r="G61" s="26">
        <f>IF(学校マスタ!$A59="","",IF(AND(学校マスタ!$U59&lt;&gt;"",学校マスタ!$U59&gt;=G$3,学校マスタ!$U59&lt;G$3+7),"◎",IF(OR(AND(学校マスタ!$H59&lt;&gt;"",学校マスタ!$H59&gt;=G$3,学校マスタ!$H59&lt;G$3+7),AND(学校マスタ!$J59&lt;&gt;"",学校マスタ!$J59&gt;=G$3,学校マスタ!$J59&lt;G$3+7),AND(学校マスタ!$L59&lt;&gt;"",学校マスタ!$L59&gt;=G$3,学校マスタ!$L59&lt;G$3+7)),"◆",IF(AND(学校マスタ!$O59&lt;&gt;"",学校マスタ!$P59&lt;&gt;"",学校マスタ!$O59&lt;G$3+7,学校マスタ!$P59&gt;=G$3),"█",IF(AND(学校マスタ!$R59&lt;&gt;"",学校マスタ!$U59&lt;&gt;"",学校マスタ!$R59&lt;G$3+7,学校マスタ!$U59&gt;=G$3),"▒","")))))</f>
        <v/>
      </c>
      <c r="H61" s="26">
        <f>IF(学校マスタ!$A59="","",IF(AND(学校マスタ!$U59&lt;&gt;"",学校マスタ!$U59&gt;=H$3,学校マスタ!$U59&lt;H$3+7),"◎",IF(OR(AND(学校マスタ!$H59&lt;&gt;"",学校マスタ!$H59&gt;=H$3,学校マスタ!$H59&lt;H$3+7),AND(学校マスタ!$J59&lt;&gt;"",学校マスタ!$J59&gt;=H$3,学校マスタ!$J59&lt;H$3+7),AND(学校マスタ!$L59&lt;&gt;"",学校マスタ!$L59&gt;=H$3,学校マスタ!$L59&lt;H$3+7)),"◆",IF(AND(学校マスタ!$O59&lt;&gt;"",学校マスタ!$P59&lt;&gt;"",学校マスタ!$O59&lt;H$3+7,学校マスタ!$P59&gt;=H$3),"█",IF(AND(学校マスタ!$R59&lt;&gt;"",学校マスタ!$U59&lt;&gt;"",学校マスタ!$R59&lt;H$3+7,学校マスタ!$U59&gt;=H$3),"▒","")))))</f>
        <v/>
      </c>
      <c r="I61" s="26">
        <f>IF(学校マスタ!$A59="","",IF(AND(学校マスタ!$U59&lt;&gt;"",学校マスタ!$U59&gt;=I$3,学校マスタ!$U59&lt;I$3+7),"◎",IF(OR(AND(学校マスタ!$H59&lt;&gt;"",学校マスタ!$H59&gt;=I$3,学校マスタ!$H59&lt;I$3+7),AND(学校マスタ!$J59&lt;&gt;"",学校マスタ!$J59&gt;=I$3,学校マスタ!$J59&lt;I$3+7),AND(学校マスタ!$L59&lt;&gt;"",学校マスタ!$L59&gt;=I$3,学校マスタ!$L59&lt;I$3+7)),"◆",IF(AND(学校マスタ!$O59&lt;&gt;"",学校マスタ!$P59&lt;&gt;"",学校マスタ!$O59&lt;I$3+7,学校マスタ!$P59&gt;=I$3),"█",IF(AND(学校マスタ!$R59&lt;&gt;"",学校マスタ!$U59&lt;&gt;"",学校マスタ!$R59&lt;I$3+7,学校マスタ!$U59&gt;=I$3),"▒","")))))</f>
        <v/>
      </c>
      <c r="J61" s="26">
        <f>IF(学校マスタ!$A59="","",IF(AND(学校マスタ!$U59&lt;&gt;"",学校マスタ!$U59&gt;=J$3,学校マスタ!$U59&lt;J$3+7),"◎",IF(OR(AND(学校マスタ!$H59&lt;&gt;"",学校マスタ!$H59&gt;=J$3,学校マスタ!$H59&lt;J$3+7),AND(学校マスタ!$J59&lt;&gt;"",学校マスタ!$J59&gt;=J$3,学校マスタ!$J59&lt;J$3+7),AND(学校マスタ!$L59&lt;&gt;"",学校マスタ!$L59&gt;=J$3,学校マスタ!$L59&lt;J$3+7)),"◆",IF(AND(学校マスタ!$O59&lt;&gt;"",学校マスタ!$P59&lt;&gt;"",学校マスタ!$O59&lt;J$3+7,学校マスタ!$P59&gt;=J$3),"█",IF(AND(学校マスタ!$R59&lt;&gt;"",学校マスタ!$U59&lt;&gt;"",学校マスタ!$R59&lt;J$3+7,学校マスタ!$U59&gt;=J$3),"▒","")))))</f>
        <v/>
      </c>
      <c r="K61" s="26">
        <f>IF(学校マスタ!$A59="","",IF(AND(学校マスタ!$U59&lt;&gt;"",学校マスタ!$U59&gt;=K$3,学校マスタ!$U59&lt;K$3+7),"◎",IF(OR(AND(学校マスタ!$H59&lt;&gt;"",学校マスタ!$H59&gt;=K$3,学校マスタ!$H59&lt;K$3+7),AND(学校マスタ!$J59&lt;&gt;"",学校マスタ!$J59&gt;=K$3,学校マスタ!$J59&lt;K$3+7),AND(学校マスタ!$L59&lt;&gt;"",学校マスタ!$L59&gt;=K$3,学校マスタ!$L59&lt;K$3+7)),"◆",IF(AND(学校マスタ!$O59&lt;&gt;"",学校マスタ!$P59&lt;&gt;"",学校マスタ!$O59&lt;K$3+7,学校マスタ!$P59&gt;=K$3),"█",IF(AND(学校マスタ!$R59&lt;&gt;"",学校マスタ!$U59&lt;&gt;"",学校マスタ!$R59&lt;K$3+7,学校マスタ!$U59&gt;=K$3),"▒","")))))</f>
        <v/>
      </c>
      <c r="L61" s="26">
        <f>IF(学校マスタ!$A59="","",IF(AND(学校マスタ!$U59&lt;&gt;"",学校マスタ!$U59&gt;=L$3,学校マスタ!$U59&lt;L$3+7),"◎",IF(OR(AND(学校マスタ!$H59&lt;&gt;"",学校マスタ!$H59&gt;=L$3,学校マスタ!$H59&lt;L$3+7),AND(学校マスタ!$J59&lt;&gt;"",学校マスタ!$J59&gt;=L$3,学校マスタ!$J59&lt;L$3+7),AND(学校マスタ!$L59&lt;&gt;"",学校マスタ!$L59&gt;=L$3,学校マスタ!$L59&lt;L$3+7)),"◆",IF(AND(学校マスタ!$O59&lt;&gt;"",学校マスタ!$P59&lt;&gt;"",学校マスタ!$O59&lt;L$3+7,学校マスタ!$P59&gt;=L$3),"█",IF(AND(学校マスタ!$R59&lt;&gt;"",学校マスタ!$U59&lt;&gt;"",学校マスタ!$R59&lt;L$3+7,学校マスタ!$U59&gt;=L$3),"▒","")))))</f>
        <v/>
      </c>
      <c r="M61" s="26">
        <f>IF(学校マスタ!$A59="","",IF(AND(学校マスタ!$U59&lt;&gt;"",学校マスタ!$U59&gt;=M$3,学校マスタ!$U59&lt;M$3+7),"◎",IF(OR(AND(学校マスタ!$H59&lt;&gt;"",学校マスタ!$H59&gt;=M$3,学校マスタ!$H59&lt;M$3+7),AND(学校マスタ!$J59&lt;&gt;"",学校マスタ!$J59&gt;=M$3,学校マスタ!$J59&lt;M$3+7),AND(学校マスタ!$L59&lt;&gt;"",学校マスタ!$L59&gt;=M$3,学校マスタ!$L59&lt;M$3+7)),"◆",IF(AND(学校マスタ!$O59&lt;&gt;"",学校マスタ!$P59&lt;&gt;"",学校マスタ!$O59&lt;M$3+7,学校マスタ!$P59&gt;=M$3),"█",IF(AND(学校マスタ!$R59&lt;&gt;"",学校マスタ!$U59&lt;&gt;"",学校マスタ!$R59&lt;M$3+7,学校マスタ!$U59&gt;=M$3),"▒","")))))</f>
        <v/>
      </c>
      <c r="N61" s="26">
        <f>IF(学校マスタ!$A59="","",IF(AND(学校マスタ!$U59&lt;&gt;"",学校マスタ!$U59&gt;=N$3,学校マスタ!$U59&lt;N$3+7),"◎",IF(OR(AND(学校マスタ!$H59&lt;&gt;"",学校マスタ!$H59&gt;=N$3,学校マスタ!$H59&lt;N$3+7),AND(学校マスタ!$J59&lt;&gt;"",学校マスタ!$J59&gt;=N$3,学校マスタ!$J59&lt;N$3+7),AND(学校マスタ!$L59&lt;&gt;"",学校マスタ!$L59&gt;=N$3,学校マスタ!$L59&lt;N$3+7)),"◆",IF(AND(学校マスタ!$O59&lt;&gt;"",学校マスタ!$P59&lt;&gt;"",学校マスタ!$O59&lt;N$3+7,学校マスタ!$P59&gt;=N$3),"█",IF(AND(学校マスタ!$R59&lt;&gt;"",学校マスタ!$U59&lt;&gt;"",学校マスタ!$R59&lt;N$3+7,学校マスタ!$U59&gt;=N$3),"▒","")))))</f>
        <v/>
      </c>
      <c r="O61" s="26">
        <f>IF(学校マスタ!$A59="","",IF(AND(学校マスタ!$U59&lt;&gt;"",学校マスタ!$U59&gt;=O$3,学校マスタ!$U59&lt;O$3+7),"◎",IF(OR(AND(学校マスタ!$H59&lt;&gt;"",学校マスタ!$H59&gt;=O$3,学校マスタ!$H59&lt;O$3+7),AND(学校マスタ!$J59&lt;&gt;"",学校マスタ!$J59&gt;=O$3,学校マスタ!$J59&lt;O$3+7),AND(学校マスタ!$L59&lt;&gt;"",学校マスタ!$L59&gt;=O$3,学校マスタ!$L59&lt;O$3+7)),"◆",IF(AND(学校マスタ!$O59&lt;&gt;"",学校マスタ!$P59&lt;&gt;"",学校マスタ!$O59&lt;O$3+7,学校マスタ!$P59&gt;=O$3),"█",IF(AND(学校マスタ!$R59&lt;&gt;"",学校マスタ!$U59&lt;&gt;"",学校マスタ!$R59&lt;O$3+7,学校マスタ!$U59&gt;=O$3),"▒","")))))</f>
        <v/>
      </c>
      <c r="P61" s="26">
        <f>IF(学校マスタ!$A59="","",IF(AND(学校マスタ!$U59&lt;&gt;"",学校マスタ!$U59&gt;=P$3,学校マスタ!$U59&lt;P$3+7),"◎",IF(OR(AND(学校マスタ!$H59&lt;&gt;"",学校マスタ!$H59&gt;=P$3,学校マスタ!$H59&lt;P$3+7),AND(学校マスタ!$J59&lt;&gt;"",学校マスタ!$J59&gt;=P$3,学校マスタ!$J59&lt;P$3+7),AND(学校マスタ!$L59&lt;&gt;"",学校マスタ!$L59&gt;=P$3,学校マスタ!$L59&lt;P$3+7)),"◆",IF(AND(学校マスタ!$O59&lt;&gt;"",学校マスタ!$P59&lt;&gt;"",学校マスタ!$O59&lt;P$3+7,学校マスタ!$P59&gt;=P$3),"█",IF(AND(学校マスタ!$R59&lt;&gt;"",学校マスタ!$U59&lt;&gt;"",学校マスタ!$R59&lt;P$3+7,学校マスタ!$U59&gt;=P$3),"▒","")))))</f>
        <v/>
      </c>
      <c r="Q61" s="26">
        <f>IF(学校マスタ!$A59="","",IF(AND(学校マスタ!$U59&lt;&gt;"",学校マスタ!$U59&gt;=Q$3,学校マスタ!$U59&lt;Q$3+7),"◎",IF(OR(AND(学校マスタ!$H59&lt;&gt;"",学校マスタ!$H59&gt;=Q$3,学校マスタ!$H59&lt;Q$3+7),AND(学校マスタ!$J59&lt;&gt;"",学校マスタ!$J59&gt;=Q$3,学校マスタ!$J59&lt;Q$3+7),AND(学校マスタ!$L59&lt;&gt;"",学校マスタ!$L59&gt;=Q$3,学校マスタ!$L59&lt;Q$3+7)),"◆",IF(AND(学校マスタ!$O59&lt;&gt;"",学校マスタ!$P59&lt;&gt;"",学校マスタ!$O59&lt;Q$3+7,学校マスタ!$P59&gt;=Q$3),"█",IF(AND(学校マスタ!$R59&lt;&gt;"",学校マスタ!$U59&lt;&gt;"",学校マスタ!$R59&lt;Q$3+7,学校マスタ!$U59&gt;=Q$3),"▒","")))))</f>
        <v/>
      </c>
      <c r="R61" s="26">
        <f>IF(学校マスタ!$A59="","",IF(AND(学校マスタ!$U59&lt;&gt;"",学校マスタ!$U59&gt;=R$3,学校マスタ!$U59&lt;R$3+7),"◎",IF(OR(AND(学校マスタ!$H59&lt;&gt;"",学校マスタ!$H59&gt;=R$3,学校マスタ!$H59&lt;R$3+7),AND(学校マスタ!$J59&lt;&gt;"",学校マスタ!$J59&gt;=R$3,学校マスタ!$J59&lt;R$3+7),AND(学校マスタ!$L59&lt;&gt;"",学校マスタ!$L59&gt;=R$3,学校マスタ!$L59&lt;R$3+7)),"◆",IF(AND(学校マスタ!$O59&lt;&gt;"",学校マスタ!$P59&lt;&gt;"",学校マスタ!$O59&lt;R$3+7,学校マスタ!$P59&gt;=R$3),"█",IF(AND(学校マスタ!$R59&lt;&gt;"",学校マスタ!$U59&lt;&gt;"",学校マスタ!$R59&lt;R$3+7,学校マスタ!$U59&gt;=R$3),"▒","")))))</f>
        <v/>
      </c>
      <c r="S61" s="26">
        <f>IF(学校マスタ!$A59="","",IF(AND(学校マスタ!$U59&lt;&gt;"",学校マスタ!$U59&gt;=S$3,学校マスタ!$U59&lt;S$3+7),"◎",IF(OR(AND(学校マスタ!$H59&lt;&gt;"",学校マスタ!$H59&gt;=S$3,学校マスタ!$H59&lt;S$3+7),AND(学校マスタ!$J59&lt;&gt;"",学校マスタ!$J59&gt;=S$3,学校マスタ!$J59&lt;S$3+7),AND(学校マスタ!$L59&lt;&gt;"",学校マスタ!$L59&gt;=S$3,学校マスタ!$L59&lt;S$3+7)),"◆",IF(AND(学校マスタ!$O59&lt;&gt;"",学校マスタ!$P59&lt;&gt;"",学校マスタ!$O59&lt;S$3+7,学校マスタ!$P59&gt;=S$3),"█",IF(AND(学校マスタ!$R59&lt;&gt;"",学校マスタ!$U59&lt;&gt;"",学校マスタ!$R59&lt;S$3+7,学校マスタ!$U59&gt;=S$3),"▒","")))))</f>
        <v/>
      </c>
      <c r="T61" s="26">
        <f>IF(学校マスタ!$A59="","",IF(AND(学校マスタ!$U59&lt;&gt;"",学校マスタ!$U59&gt;=T$3,学校マスタ!$U59&lt;T$3+7),"◎",IF(OR(AND(学校マスタ!$H59&lt;&gt;"",学校マスタ!$H59&gt;=T$3,学校マスタ!$H59&lt;T$3+7),AND(学校マスタ!$J59&lt;&gt;"",学校マスタ!$J59&gt;=T$3,学校マスタ!$J59&lt;T$3+7),AND(学校マスタ!$L59&lt;&gt;"",学校マスタ!$L59&gt;=T$3,学校マスタ!$L59&lt;T$3+7)),"◆",IF(AND(学校マスタ!$O59&lt;&gt;"",学校マスタ!$P59&lt;&gt;"",学校マスタ!$O59&lt;T$3+7,学校マスタ!$P59&gt;=T$3),"█",IF(AND(学校マスタ!$R59&lt;&gt;"",学校マスタ!$U59&lt;&gt;"",学校マスタ!$R59&lt;T$3+7,学校マスタ!$U59&gt;=T$3),"▒","")))))</f>
        <v/>
      </c>
      <c r="U61" s="26">
        <f>IF(学校マスタ!$A59="","",IF(AND(学校マスタ!$U59&lt;&gt;"",学校マスタ!$U59&gt;=U$3,学校マスタ!$U59&lt;U$3+7),"◎",IF(OR(AND(学校マスタ!$H59&lt;&gt;"",学校マスタ!$H59&gt;=U$3,学校マスタ!$H59&lt;U$3+7),AND(学校マスタ!$J59&lt;&gt;"",学校マスタ!$J59&gt;=U$3,学校マスタ!$J59&lt;U$3+7),AND(学校マスタ!$L59&lt;&gt;"",学校マスタ!$L59&gt;=U$3,学校マスタ!$L59&lt;U$3+7)),"◆",IF(AND(学校マスタ!$O59&lt;&gt;"",学校マスタ!$P59&lt;&gt;"",学校マスタ!$O59&lt;U$3+7,学校マスタ!$P59&gt;=U$3),"█",IF(AND(学校マスタ!$R59&lt;&gt;"",学校マスタ!$U59&lt;&gt;"",学校マスタ!$R59&lt;U$3+7,学校マスタ!$U59&gt;=U$3),"▒","")))))</f>
        <v/>
      </c>
      <c r="V61" s="26">
        <f>IF(学校マスタ!$A59="","",IF(AND(学校マスタ!$U59&lt;&gt;"",学校マスタ!$U59&gt;=V$3,学校マスタ!$U59&lt;V$3+7),"◎",IF(OR(AND(学校マスタ!$H59&lt;&gt;"",学校マスタ!$H59&gt;=V$3,学校マスタ!$H59&lt;V$3+7),AND(学校マスタ!$J59&lt;&gt;"",学校マスタ!$J59&gt;=V$3,学校マスタ!$J59&lt;V$3+7),AND(学校マスタ!$L59&lt;&gt;"",学校マスタ!$L59&gt;=V$3,学校マスタ!$L59&lt;V$3+7)),"◆",IF(AND(学校マスタ!$O59&lt;&gt;"",学校マスタ!$P59&lt;&gt;"",学校マスタ!$O59&lt;V$3+7,学校マスタ!$P59&gt;=V$3),"█",IF(AND(学校マスタ!$R59&lt;&gt;"",学校マスタ!$U59&lt;&gt;"",学校マスタ!$R59&lt;V$3+7,学校マスタ!$U59&gt;=V$3),"▒","")))))</f>
        <v/>
      </c>
      <c r="W61" s="26">
        <f>IF(学校マスタ!$A59="","",IF(AND(学校マスタ!$U59&lt;&gt;"",学校マスタ!$U59&gt;=W$3,学校マスタ!$U59&lt;W$3+7),"◎",IF(OR(AND(学校マスタ!$H59&lt;&gt;"",学校マスタ!$H59&gt;=W$3,学校マスタ!$H59&lt;W$3+7),AND(学校マスタ!$J59&lt;&gt;"",学校マスタ!$J59&gt;=W$3,学校マスタ!$J59&lt;W$3+7),AND(学校マスタ!$L59&lt;&gt;"",学校マスタ!$L59&gt;=W$3,学校マスタ!$L59&lt;W$3+7)),"◆",IF(AND(学校マスタ!$O59&lt;&gt;"",学校マスタ!$P59&lt;&gt;"",学校マスタ!$O59&lt;W$3+7,学校マスタ!$P59&gt;=W$3),"█",IF(AND(学校マスタ!$R59&lt;&gt;"",学校マスタ!$U59&lt;&gt;"",学校マスタ!$R59&lt;W$3+7,学校マスタ!$U59&gt;=W$3),"▒","")))))</f>
        <v/>
      </c>
      <c r="X61" s="26">
        <f>IF(学校マスタ!$A59="","",IF(AND(学校マスタ!$U59&lt;&gt;"",学校マスタ!$U59&gt;=X$3,学校マスタ!$U59&lt;X$3+7),"◎",IF(OR(AND(学校マスタ!$H59&lt;&gt;"",学校マスタ!$H59&gt;=X$3,学校マスタ!$H59&lt;X$3+7),AND(学校マスタ!$J59&lt;&gt;"",学校マスタ!$J59&gt;=X$3,学校マスタ!$J59&lt;X$3+7),AND(学校マスタ!$L59&lt;&gt;"",学校マスタ!$L59&gt;=X$3,学校マスタ!$L59&lt;X$3+7)),"◆",IF(AND(学校マスタ!$O59&lt;&gt;"",学校マスタ!$P59&lt;&gt;"",学校マスタ!$O59&lt;X$3+7,学校マスタ!$P59&gt;=X$3),"█",IF(AND(学校マスタ!$R59&lt;&gt;"",学校マスタ!$U59&lt;&gt;"",学校マスタ!$R59&lt;X$3+7,学校マスタ!$U59&gt;=X$3),"▒","")))))</f>
        <v/>
      </c>
      <c r="Y61" s="26">
        <f>IF(学校マスタ!$A59="","",IF(AND(学校マスタ!$U59&lt;&gt;"",学校マスタ!$U59&gt;=Y$3,学校マスタ!$U59&lt;Y$3+7),"◎",IF(OR(AND(学校マスタ!$H59&lt;&gt;"",学校マスタ!$H59&gt;=Y$3,学校マスタ!$H59&lt;Y$3+7),AND(学校マスタ!$J59&lt;&gt;"",学校マスタ!$J59&gt;=Y$3,学校マスタ!$J59&lt;Y$3+7),AND(学校マスタ!$L59&lt;&gt;"",学校マスタ!$L59&gt;=Y$3,学校マスタ!$L59&lt;Y$3+7)),"◆",IF(AND(学校マスタ!$O59&lt;&gt;"",学校マスタ!$P59&lt;&gt;"",学校マスタ!$O59&lt;Y$3+7,学校マスタ!$P59&gt;=Y$3),"█",IF(AND(学校マスタ!$R59&lt;&gt;"",学校マスタ!$U59&lt;&gt;"",学校マスタ!$R59&lt;Y$3+7,学校マスタ!$U59&gt;=Y$3),"▒","")))))</f>
        <v/>
      </c>
      <c r="Z61" s="26">
        <f>IF(学校マスタ!$A59="","",IF(AND(学校マスタ!$U59&lt;&gt;"",学校マスタ!$U59&gt;=Z$3,学校マスタ!$U59&lt;Z$3+7),"◎",IF(OR(AND(学校マスタ!$H59&lt;&gt;"",学校マスタ!$H59&gt;=Z$3,学校マスタ!$H59&lt;Z$3+7),AND(学校マスタ!$J59&lt;&gt;"",学校マスタ!$J59&gt;=Z$3,学校マスタ!$J59&lt;Z$3+7),AND(学校マスタ!$L59&lt;&gt;"",学校マスタ!$L59&gt;=Z$3,学校マスタ!$L59&lt;Z$3+7)),"◆",IF(AND(学校マスタ!$O59&lt;&gt;"",学校マスタ!$P59&lt;&gt;"",学校マスタ!$O59&lt;Z$3+7,学校マスタ!$P59&gt;=Z$3),"█",IF(AND(学校マスタ!$R59&lt;&gt;"",学校マスタ!$U59&lt;&gt;"",学校マスタ!$R59&lt;Z$3+7,学校マスタ!$U59&gt;=Z$3),"▒","")))))</f>
        <v/>
      </c>
      <c r="AA61" s="26">
        <f>IF(学校マスタ!$A59="","",IF(AND(学校マスタ!$U59&lt;&gt;"",学校マスタ!$U59&gt;=AA$3,学校マスタ!$U59&lt;AA$3+7),"◎",IF(OR(AND(学校マスタ!$H59&lt;&gt;"",学校マスタ!$H59&gt;=AA$3,学校マスタ!$H59&lt;AA$3+7),AND(学校マスタ!$J59&lt;&gt;"",学校マスタ!$J59&gt;=AA$3,学校マスタ!$J59&lt;AA$3+7),AND(学校マスタ!$L59&lt;&gt;"",学校マスタ!$L59&gt;=AA$3,学校マスタ!$L59&lt;AA$3+7)),"◆",IF(AND(学校マスタ!$O59&lt;&gt;"",学校マスタ!$P59&lt;&gt;"",学校マスタ!$O59&lt;AA$3+7,学校マスタ!$P59&gt;=AA$3),"█",IF(AND(学校マスタ!$R59&lt;&gt;"",学校マスタ!$U59&lt;&gt;"",学校マスタ!$R59&lt;AA$3+7,学校マスタ!$U59&gt;=AA$3),"▒","")))))</f>
        <v/>
      </c>
      <c r="AB61" s="26">
        <f>IF(学校マスタ!$A59="","",IF(AND(学校マスタ!$U59&lt;&gt;"",学校マスタ!$U59&gt;=AB$3,学校マスタ!$U59&lt;AB$3+7),"◎",IF(OR(AND(学校マスタ!$H59&lt;&gt;"",学校マスタ!$H59&gt;=AB$3,学校マスタ!$H59&lt;AB$3+7),AND(学校マスタ!$J59&lt;&gt;"",学校マスタ!$J59&gt;=AB$3,学校マスタ!$J59&lt;AB$3+7),AND(学校マスタ!$L59&lt;&gt;"",学校マスタ!$L59&gt;=AB$3,学校マスタ!$L59&lt;AB$3+7)),"◆",IF(AND(学校マスタ!$O59&lt;&gt;"",学校マスタ!$P59&lt;&gt;"",学校マスタ!$O59&lt;AB$3+7,学校マスタ!$P59&gt;=AB$3),"█",IF(AND(学校マスタ!$R59&lt;&gt;"",学校マスタ!$U59&lt;&gt;"",学校マスタ!$R59&lt;AB$3+7,学校マスタ!$U59&gt;=AB$3),"▒","")))))</f>
        <v/>
      </c>
    </row>
    <row r="62">
      <c r="A62" s="19">
        <f>IF(学校マスタ!$A60="","",学校マスタ!$A60)</f>
        <v/>
      </c>
      <c r="B62" s="19">
        <f>IF(学校マスタ!$A60="","",学校マスタ!$C60)</f>
        <v/>
      </c>
      <c r="C62" s="19">
        <f>IF(学校マスタ!$A60="","",学校マスタ!$X60)</f>
        <v/>
      </c>
      <c r="D62" s="25">
        <f>IF(学校マスタ!$A60="","",学校マスタ!$R60)</f>
        <v/>
      </c>
      <c r="E62" s="26">
        <f>IF(学校マスタ!$A60="","",IF(AND(学校マスタ!$U60&lt;&gt;"",学校マスタ!$U60&gt;=E$3,学校マスタ!$U60&lt;E$3+7),"◎",IF(OR(AND(学校マスタ!$H60&lt;&gt;"",学校マスタ!$H60&gt;=E$3,学校マスタ!$H60&lt;E$3+7),AND(学校マスタ!$J60&lt;&gt;"",学校マスタ!$J60&gt;=E$3,学校マスタ!$J60&lt;E$3+7),AND(学校マスタ!$L60&lt;&gt;"",学校マスタ!$L60&gt;=E$3,学校マスタ!$L60&lt;E$3+7)),"◆",IF(AND(学校マスタ!$O60&lt;&gt;"",学校マスタ!$P60&lt;&gt;"",学校マスタ!$O60&lt;E$3+7,学校マスタ!$P60&gt;=E$3),"█",IF(AND(学校マスタ!$R60&lt;&gt;"",学校マスタ!$U60&lt;&gt;"",学校マスタ!$R60&lt;E$3+7,学校マスタ!$U60&gt;=E$3),"▒","")))))</f>
        <v/>
      </c>
      <c r="F62" s="26">
        <f>IF(学校マスタ!$A60="","",IF(AND(学校マスタ!$U60&lt;&gt;"",学校マスタ!$U60&gt;=F$3,学校マスタ!$U60&lt;F$3+7),"◎",IF(OR(AND(学校マスタ!$H60&lt;&gt;"",学校マスタ!$H60&gt;=F$3,学校マスタ!$H60&lt;F$3+7),AND(学校マスタ!$J60&lt;&gt;"",学校マスタ!$J60&gt;=F$3,学校マスタ!$J60&lt;F$3+7),AND(学校マスタ!$L60&lt;&gt;"",学校マスタ!$L60&gt;=F$3,学校マスタ!$L60&lt;F$3+7)),"◆",IF(AND(学校マスタ!$O60&lt;&gt;"",学校マスタ!$P60&lt;&gt;"",学校マスタ!$O60&lt;F$3+7,学校マスタ!$P60&gt;=F$3),"█",IF(AND(学校マスタ!$R60&lt;&gt;"",学校マスタ!$U60&lt;&gt;"",学校マスタ!$R60&lt;F$3+7,学校マスタ!$U60&gt;=F$3),"▒","")))))</f>
        <v/>
      </c>
      <c r="G62" s="26">
        <f>IF(学校マスタ!$A60="","",IF(AND(学校マスタ!$U60&lt;&gt;"",学校マスタ!$U60&gt;=G$3,学校マスタ!$U60&lt;G$3+7),"◎",IF(OR(AND(学校マスタ!$H60&lt;&gt;"",学校マスタ!$H60&gt;=G$3,学校マスタ!$H60&lt;G$3+7),AND(学校マスタ!$J60&lt;&gt;"",学校マスタ!$J60&gt;=G$3,学校マスタ!$J60&lt;G$3+7),AND(学校マスタ!$L60&lt;&gt;"",学校マスタ!$L60&gt;=G$3,学校マスタ!$L60&lt;G$3+7)),"◆",IF(AND(学校マスタ!$O60&lt;&gt;"",学校マスタ!$P60&lt;&gt;"",学校マスタ!$O60&lt;G$3+7,学校マスタ!$P60&gt;=G$3),"█",IF(AND(学校マスタ!$R60&lt;&gt;"",学校マスタ!$U60&lt;&gt;"",学校マスタ!$R60&lt;G$3+7,学校マスタ!$U60&gt;=G$3),"▒","")))))</f>
        <v/>
      </c>
      <c r="H62" s="26">
        <f>IF(学校マスタ!$A60="","",IF(AND(学校マスタ!$U60&lt;&gt;"",学校マスタ!$U60&gt;=H$3,学校マスタ!$U60&lt;H$3+7),"◎",IF(OR(AND(学校マスタ!$H60&lt;&gt;"",学校マスタ!$H60&gt;=H$3,学校マスタ!$H60&lt;H$3+7),AND(学校マスタ!$J60&lt;&gt;"",学校マスタ!$J60&gt;=H$3,学校マスタ!$J60&lt;H$3+7),AND(学校マスタ!$L60&lt;&gt;"",学校マスタ!$L60&gt;=H$3,学校マスタ!$L60&lt;H$3+7)),"◆",IF(AND(学校マスタ!$O60&lt;&gt;"",学校マスタ!$P60&lt;&gt;"",学校マスタ!$O60&lt;H$3+7,学校マスタ!$P60&gt;=H$3),"█",IF(AND(学校マスタ!$R60&lt;&gt;"",学校マスタ!$U60&lt;&gt;"",学校マスタ!$R60&lt;H$3+7,学校マスタ!$U60&gt;=H$3),"▒","")))))</f>
        <v/>
      </c>
      <c r="I62" s="26">
        <f>IF(学校マスタ!$A60="","",IF(AND(学校マスタ!$U60&lt;&gt;"",学校マスタ!$U60&gt;=I$3,学校マスタ!$U60&lt;I$3+7),"◎",IF(OR(AND(学校マスタ!$H60&lt;&gt;"",学校マスタ!$H60&gt;=I$3,学校マスタ!$H60&lt;I$3+7),AND(学校マスタ!$J60&lt;&gt;"",学校マスタ!$J60&gt;=I$3,学校マスタ!$J60&lt;I$3+7),AND(学校マスタ!$L60&lt;&gt;"",学校マスタ!$L60&gt;=I$3,学校マスタ!$L60&lt;I$3+7)),"◆",IF(AND(学校マスタ!$O60&lt;&gt;"",学校マスタ!$P60&lt;&gt;"",学校マスタ!$O60&lt;I$3+7,学校マスタ!$P60&gt;=I$3),"█",IF(AND(学校マスタ!$R60&lt;&gt;"",学校マスタ!$U60&lt;&gt;"",学校マスタ!$R60&lt;I$3+7,学校マスタ!$U60&gt;=I$3),"▒","")))))</f>
        <v/>
      </c>
      <c r="J62" s="26">
        <f>IF(学校マスタ!$A60="","",IF(AND(学校マスタ!$U60&lt;&gt;"",学校マスタ!$U60&gt;=J$3,学校マスタ!$U60&lt;J$3+7),"◎",IF(OR(AND(学校マスタ!$H60&lt;&gt;"",学校マスタ!$H60&gt;=J$3,学校マスタ!$H60&lt;J$3+7),AND(学校マスタ!$J60&lt;&gt;"",学校マスタ!$J60&gt;=J$3,学校マスタ!$J60&lt;J$3+7),AND(学校マスタ!$L60&lt;&gt;"",学校マスタ!$L60&gt;=J$3,学校マスタ!$L60&lt;J$3+7)),"◆",IF(AND(学校マスタ!$O60&lt;&gt;"",学校マスタ!$P60&lt;&gt;"",学校マスタ!$O60&lt;J$3+7,学校マスタ!$P60&gt;=J$3),"█",IF(AND(学校マスタ!$R60&lt;&gt;"",学校マスタ!$U60&lt;&gt;"",学校マスタ!$R60&lt;J$3+7,学校マスタ!$U60&gt;=J$3),"▒","")))))</f>
        <v/>
      </c>
      <c r="K62" s="26">
        <f>IF(学校マスタ!$A60="","",IF(AND(学校マスタ!$U60&lt;&gt;"",学校マスタ!$U60&gt;=K$3,学校マスタ!$U60&lt;K$3+7),"◎",IF(OR(AND(学校マスタ!$H60&lt;&gt;"",学校マスタ!$H60&gt;=K$3,学校マスタ!$H60&lt;K$3+7),AND(学校マスタ!$J60&lt;&gt;"",学校マスタ!$J60&gt;=K$3,学校マスタ!$J60&lt;K$3+7),AND(学校マスタ!$L60&lt;&gt;"",学校マスタ!$L60&gt;=K$3,学校マスタ!$L60&lt;K$3+7)),"◆",IF(AND(学校マスタ!$O60&lt;&gt;"",学校マスタ!$P60&lt;&gt;"",学校マスタ!$O60&lt;K$3+7,学校マスタ!$P60&gt;=K$3),"█",IF(AND(学校マスタ!$R60&lt;&gt;"",学校マスタ!$U60&lt;&gt;"",学校マスタ!$R60&lt;K$3+7,学校マスタ!$U60&gt;=K$3),"▒","")))))</f>
        <v/>
      </c>
      <c r="L62" s="26">
        <f>IF(学校マスタ!$A60="","",IF(AND(学校マスタ!$U60&lt;&gt;"",学校マスタ!$U60&gt;=L$3,学校マスタ!$U60&lt;L$3+7),"◎",IF(OR(AND(学校マスタ!$H60&lt;&gt;"",学校マスタ!$H60&gt;=L$3,学校マスタ!$H60&lt;L$3+7),AND(学校マスタ!$J60&lt;&gt;"",学校マスタ!$J60&gt;=L$3,学校マスタ!$J60&lt;L$3+7),AND(学校マスタ!$L60&lt;&gt;"",学校マスタ!$L60&gt;=L$3,学校マスタ!$L60&lt;L$3+7)),"◆",IF(AND(学校マスタ!$O60&lt;&gt;"",学校マスタ!$P60&lt;&gt;"",学校マスタ!$O60&lt;L$3+7,学校マスタ!$P60&gt;=L$3),"█",IF(AND(学校マスタ!$R60&lt;&gt;"",学校マスタ!$U60&lt;&gt;"",学校マスタ!$R60&lt;L$3+7,学校マスタ!$U60&gt;=L$3),"▒","")))))</f>
        <v/>
      </c>
      <c r="M62" s="26">
        <f>IF(学校マスタ!$A60="","",IF(AND(学校マスタ!$U60&lt;&gt;"",学校マスタ!$U60&gt;=M$3,学校マスタ!$U60&lt;M$3+7),"◎",IF(OR(AND(学校マスタ!$H60&lt;&gt;"",学校マスタ!$H60&gt;=M$3,学校マスタ!$H60&lt;M$3+7),AND(学校マスタ!$J60&lt;&gt;"",学校マスタ!$J60&gt;=M$3,学校マスタ!$J60&lt;M$3+7),AND(学校マスタ!$L60&lt;&gt;"",学校マスタ!$L60&gt;=M$3,学校マスタ!$L60&lt;M$3+7)),"◆",IF(AND(学校マスタ!$O60&lt;&gt;"",学校マスタ!$P60&lt;&gt;"",学校マスタ!$O60&lt;M$3+7,学校マスタ!$P60&gt;=M$3),"█",IF(AND(学校マスタ!$R60&lt;&gt;"",学校マスタ!$U60&lt;&gt;"",学校マスタ!$R60&lt;M$3+7,学校マスタ!$U60&gt;=M$3),"▒","")))))</f>
        <v/>
      </c>
      <c r="N62" s="26">
        <f>IF(学校マスタ!$A60="","",IF(AND(学校マスタ!$U60&lt;&gt;"",学校マスタ!$U60&gt;=N$3,学校マスタ!$U60&lt;N$3+7),"◎",IF(OR(AND(学校マスタ!$H60&lt;&gt;"",学校マスタ!$H60&gt;=N$3,学校マスタ!$H60&lt;N$3+7),AND(学校マスタ!$J60&lt;&gt;"",学校マスタ!$J60&gt;=N$3,学校マスタ!$J60&lt;N$3+7),AND(学校マスタ!$L60&lt;&gt;"",学校マスタ!$L60&gt;=N$3,学校マスタ!$L60&lt;N$3+7)),"◆",IF(AND(学校マスタ!$O60&lt;&gt;"",学校マスタ!$P60&lt;&gt;"",学校マスタ!$O60&lt;N$3+7,学校マスタ!$P60&gt;=N$3),"█",IF(AND(学校マスタ!$R60&lt;&gt;"",学校マスタ!$U60&lt;&gt;"",学校マスタ!$R60&lt;N$3+7,学校マスタ!$U60&gt;=N$3),"▒","")))))</f>
        <v/>
      </c>
      <c r="O62" s="26">
        <f>IF(学校マスタ!$A60="","",IF(AND(学校マスタ!$U60&lt;&gt;"",学校マスタ!$U60&gt;=O$3,学校マスタ!$U60&lt;O$3+7),"◎",IF(OR(AND(学校マスタ!$H60&lt;&gt;"",学校マスタ!$H60&gt;=O$3,学校マスタ!$H60&lt;O$3+7),AND(学校マスタ!$J60&lt;&gt;"",学校マスタ!$J60&gt;=O$3,学校マスタ!$J60&lt;O$3+7),AND(学校マスタ!$L60&lt;&gt;"",学校マスタ!$L60&gt;=O$3,学校マスタ!$L60&lt;O$3+7)),"◆",IF(AND(学校マスタ!$O60&lt;&gt;"",学校マスタ!$P60&lt;&gt;"",学校マスタ!$O60&lt;O$3+7,学校マスタ!$P60&gt;=O$3),"█",IF(AND(学校マスタ!$R60&lt;&gt;"",学校マスタ!$U60&lt;&gt;"",学校マスタ!$R60&lt;O$3+7,学校マスタ!$U60&gt;=O$3),"▒","")))))</f>
        <v/>
      </c>
      <c r="P62" s="26">
        <f>IF(学校マスタ!$A60="","",IF(AND(学校マスタ!$U60&lt;&gt;"",学校マスタ!$U60&gt;=P$3,学校マスタ!$U60&lt;P$3+7),"◎",IF(OR(AND(学校マスタ!$H60&lt;&gt;"",学校マスタ!$H60&gt;=P$3,学校マスタ!$H60&lt;P$3+7),AND(学校マスタ!$J60&lt;&gt;"",学校マスタ!$J60&gt;=P$3,学校マスタ!$J60&lt;P$3+7),AND(学校マスタ!$L60&lt;&gt;"",学校マスタ!$L60&gt;=P$3,学校マスタ!$L60&lt;P$3+7)),"◆",IF(AND(学校マスタ!$O60&lt;&gt;"",学校マスタ!$P60&lt;&gt;"",学校マスタ!$O60&lt;P$3+7,学校マスタ!$P60&gt;=P$3),"█",IF(AND(学校マスタ!$R60&lt;&gt;"",学校マスタ!$U60&lt;&gt;"",学校マスタ!$R60&lt;P$3+7,学校マスタ!$U60&gt;=P$3),"▒","")))))</f>
        <v/>
      </c>
      <c r="Q62" s="26">
        <f>IF(学校マスタ!$A60="","",IF(AND(学校マスタ!$U60&lt;&gt;"",学校マスタ!$U60&gt;=Q$3,学校マスタ!$U60&lt;Q$3+7),"◎",IF(OR(AND(学校マスタ!$H60&lt;&gt;"",学校マスタ!$H60&gt;=Q$3,学校マスタ!$H60&lt;Q$3+7),AND(学校マスタ!$J60&lt;&gt;"",学校マスタ!$J60&gt;=Q$3,学校マスタ!$J60&lt;Q$3+7),AND(学校マスタ!$L60&lt;&gt;"",学校マスタ!$L60&gt;=Q$3,学校マスタ!$L60&lt;Q$3+7)),"◆",IF(AND(学校マスタ!$O60&lt;&gt;"",学校マスタ!$P60&lt;&gt;"",学校マスタ!$O60&lt;Q$3+7,学校マスタ!$P60&gt;=Q$3),"█",IF(AND(学校マスタ!$R60&lt;&gt;"",学校マスタ!$U60&lt;&gt;"",学校マスタ!$R60&lt;Q$3+7,学校マスタ!$U60&gt;=Q$3),"▒","")))))</f>
        <v/>
      </c>
      <c r="R62" s="26">
        <f>IF(学校マスタ!$A60="","",IF(AND(学校マスタ!$U60&lt;&gt;"",学校マスタ!$U60&gt;=R$3,学校マスタ!$U60&lt;R$3+7),"◎",IF(OR(AND(学校マスタ!$H60&lt;&gt;"",学校マスタ!$H60&gt;=R$3,学校マスタ!$H60&lt;R$3+7),AND(学校マスタ!$J60&lt;&gt;"",学校マスタ!$J60&gt;=R$3,学校マスタ!$J60&lt;R$3+7),AND(学校マスタ!$L60&lt;&gt;"",学校マスタ!$L60&gt;=R$3,学校マスタ!$L60&lt;R$3+7)),"◆",IF(AND(学校マスタ!$O60&lt;&gt;"",学校マスタ!$P60&lt;&gt;"",学校マスタ!$O60&lt;R$3+7,学校マスタ!$P60&gt;=R$3),"█",IF(AND(学校マスタ!$R60&lt;&gt;"",学校マスタ!$U60&lt;&gt;"",学校マスタ!$R60&lt;R$3+7,学校マスタ!$U60&gt;=R$3),"▒","")))))</f>
        <v/>
      </c>
      <c r="S62" s="26">
        <f>IF(学校マスタ!$A60="","",IF(AND(学校マスタ!$U60&lt;&gt;"",学校マスタ!$U60&gt;=S$3,学校マスタ!$U60&lt;S$3+7),"◎",IF(OR(AND(学校マスタ!$H60&lt;&gt;"",学校マスタ!$H60&gt;=S$3,学校マスタ!$H60&lt;S$3+7),AND(学校マスタ!$J60&lt;&gt;"",学校マスタ!$J60&gt;=S$3,学校マスタ!$J60&lt;S$3+7),AND(学校マスタ!$L60&lt;&gt;"",学校マスタ!$L60&gt;=S$3,学校マスタ!$L60&lt;S$3+7)),"◆",IF(AND(学校マスタ!$O60&lt;&gt;"",学校マスタ!$P60&lt;&gt;"",学校マスタ!$O60&lt;S$3+7,学校マスタ!$P60&gt;=S$3),"█",IF(AND(学校マスタ!$R60&lt;&gt;"",学校マスタ!$U60&lt;&gt;"",学校マスタ!$R60&lt;S$3+7,学校マスタ!$U60&gt;=S$3),"▒","")))))</f>
        <v/>
      </c>
      <c r="T62" s="26">
        <f>IF(学校マスタ!$A60="","",IF(AND(学校マスタ!$U60&lt;&gt;"",学校マスタ!$U60&gt;=T$3,学校マスタ!$U60&lt;T$3+7),"◎",IF(OR(AND(学校マスタ!$H60&lt;&gt;"",学校マスタ!$H60&gt;=T$3,学校マスタ!$H60&lt;T$3+7),AND(学校マスタ!$J60&lt;&gt;"",学校マスタ!$J60&gt;=T$3,学校マスタ!$J60&lt;T$3+7),AND(学校マスタ!$L60&lt;&gt;"",学校マスタ!$L60&gt;=T$3,学校マスタ!$L60&lt;T$3+7)),"◆",IF(AND(学校マスタ!$O60&lt;&gt;"",学校マスタ!$P60&lt;&gt;"",学校マスタ!$O60&lt;T$3+7,学校マスタ!$P60&gt;=T$3),"█",IF(AND(学校マスタ!$R60&lt;&gt;"",学校マスタ!$U60&lt;&gt;"",学校マスタ!$R60&lt;T$3+7,学校マスタ!$U60&gt;=T$3),"▒","")))))</f>
        <v/>
      </c>
      <c r="U62" s="26">
        <f>IF(学校マスタ!$A60="","",IF(AND(学校マスタ!$U60&lt;&gt;"",学校マスタ!$U60&gt;=U$3,学校マスタ!$U60&lt;U$3+7),"◎",IF(OR(AND(学校マスタ!$H60&lt;&gt;"",学校マスタ!$H60&gt;=U$3,学校マスタ!$H60&lt;U$3+7),AND(学校マスタ!$J60&lt;&gt;"",学校マスタ!$J60&gt;=U$3,学校マスタ!$J60&lt;U$3+7),AND(学校マスタ!$L60&lt;&gt;"",学校マスタ!$L60&gt;=U$3,学校マスタ!$L60&lt;U$3+7)),"◆",IF(AND(学校マスタ!$O60&lt;&gt;"",学校マスタ!$P60&lt;&gt;"",学校マスタ!$O60&lt;U$3+7,学校マスタ!$P60&gt;=U$3),"█",IF(AND(学校マスタ!$R60&lt;&gt;"",学校マスタ!$U60&lt;&gt;"",学校マスタ!$R60&lt;U$3+7,学校マスタ!$U60&gt;=U$3),"▒","")))))</f>
        <v/>
      </c>
      <c r="V62" s="26">
        <f>IF(学校マスタ!$A60="","",IF(AND(学校マスタ!$U60&lt;&gt;"",学校マスタ!$U60&gt;=V$3,学校マスタ!$U60&lt;V$3+7),"◎",IF(OR(AND(学校マスタ!$H60&lt;&gt;"",学校マスタ!$H60&gt;=V$3,学校マスタ!$H60&lt;V$3+7),AND(学校マスタ!$J60&lt;&gt;"",学校マスタ!$J60&gt;=V$3,学校マスタ!$J60&lt;V$3+7),AND(学校マスタ!$L60&lt;&gt;"",学校マスタ!$L60&gt;=V$3,学校マスタ!$L60&lt;V$3+7)),"◆",IF(AND(学校マスタ!$O60&lt;&gt;"",学校マスタ!$P60&lt;&gt;"",学校マスタ!$O60&lt;V$3+7,学校マスタ!$P60&gt;=V$3),"█",IF(AND(学校マスタ!$R60&lt;&gt;"",学校マスタ!$U60&lt;&gt;"",学校マスタ!$R60&lt;V$3+7,学校マスタ!$U60&gt;=V$3),"▒","")))))</f>
        <v/>
      </c>
      <c r="W62" s="26">
        <f>IF(学校マスタ!$A60="","",IF(AND(学校マスタ!$U60&lt;&gt;"",学校マスタ!$U60&gt;=W$3,学校マスタ!$U60&lt;W$3+7),"◎",IF(OR(AND(学校マスタ!$H60&lt;&gt;"",学校マスタ!$H60&gt;=W$3,学校マスタ!$H60&lt;W$3+7),AND(学校マスタ!$J60&lt;&gt;"",学校マスタ!$J60&gt;=W$3,学校マスタ!$J60&lt;W$3+7),AND(学校マスタ!$L60&lt;&gt;"",学校マスタ!$L60&gt;=W$3,学校マスタ!$L60&lt;W$3+7)),"◆",IF(AND(学校マスタ!$O60&lt;&gt;"",学校マスタ!$P60&lt;&gt;"",学校マスタ!$O60&lt;W$3+7,学校マスタ!$P60&gt;=W$3),"█",IF(AND(学校マスタ!$R60&lt;&gt;"",学校マスタ!$U60&lt;&gt;"",学校マスタ!$R60&lt;W$3+7,学校マスタ!$U60&gt;=W$3),"▒","")))))</f>
        <v/>
      </c>
      <c r="X62" s="26">
        <f>IF(学校マスタ!$A60="","",IF(AND(学校マスタ!$U60&lt;&gt;"",学校マスタ!$U60&gt;=X$3,学校マスタ!$U60&lt;X$3+7),"◎",IF(OR(AND(学校マスタ!$H60&lt;&gt;"",学校マスタ!$H60&gt;=X$3,学校マスタ!$H60&lt;X$3+7),AND(学校マスタ!$J60&lt;&gt;"",学校マスタ!$J60&gt;=X$3,学校マスタ!$J60&lt;X$3+7),AND(学校マスタ!$L60&lt;&gt;"",学校マスタ!$L60&gt;=X$3,学校マスタ!$L60&lt;X$3+7)),"◆",IF(AND(学校マスタ!$O60&lt;&gt;"",学校マスタ!$P60&lt;&gt;"",学校マスタ!$O60&lt;X$3+7,学校マスタ!$P60&gt;=X$3),"█",IF(AND(学校マスタ!$R60&lt;&gt;"",学校マスタ!$U60&lt;&gt;"",学校マスタ!$R60&lt;X$3+7,学校マスタ!$U60&gt;=X$3),"▒","")))))</f>
        <v/>
      </c>
      <c r="Y62" s="26">
        <f>IF(学校マスタ!$A60="","",IF(AND(学校マスタ!$U60&lt;&gt;"",学校マスタ!$U60&gt;=Y$3,学校マスタ!$U60&lt;Y$3+7),"◎",IF(OR(AND(学校マスタ!$H60&lt;&gt;"",学校マスタ!$H60&gt;=Y$3,学校マスタ!$H60&lt;Y$3+7),AND(学校マスタ!$J60&lt;&gt;"",学校マスタ!$J60&gt;=Y$3,学校マスタ!$J60&lt;Y$3+7),AND(学校マスタ!$L60&lt;&gt;"",学校マスタ!$L60&gt;=Y$3,学校マスタ!$L60&lt;Y$3+7)),"◆",IF(AND(学校マスタ!$O60&lt;&gt;"",学校マスタ!$P60&lt;&gt;"",学校マスタ!$O60&lt;Y$3+7,学校マスタ!$P60&gt;=Y$3),"█",IF(AND(学校マスタ!$R60&lt;&gt;"",学校マスタ!$U60&lt;&gt;"",学校マスタ!$R60&lt;Y$3+7,学校マスタ!$U60&gt;=Y$3),"▒","")))))</f>
        <v/>
      </c>
      <c r="Z62" s="26">
        <f>IF(学校マスタ!$A60="","",IF(AND(学校マスタ!$U60&lt;&gt;"",学校マスタ!$U60&gt;=Z$3,学校マスタ!$U60&lt;Z$3+7),"◎",IF(OR(AND(学校マスタ!$H60&lt;&gt;"",学校マスタ!$H60&gt;=Z$3,学校マスタ!$H60&lt;Z$3+7),AND(学校マスタ!$J60&lt;&gt;"",学校マスタ!$J60&gt;=Z$3,学校マスタ!$J60&lt;Z$3+7),AND(学校マスタ!$L60&lt;&gt;"",学校マスタ!$L60&gt;=Z$3,学校マスタ!$L60&lt;Z$3+7)),"◆",IF(AND(学校マスタ!$O60&lt;&gt;"",学校マスタ!$P60&lt;&gt;"",学校マスタ!$O60&lt;Z$3+7,学校マスタ!$P60&gt;=Z$3),"█",IF(AND(学校マスタ!$R60&lt;&gt;"",学校マスタ!$U60&lt;&gt;"",学校マスタ!$R60&lt;Z$3+7,学校マスタ!$U60&gt;=Z$3),"▒","")))))</f>
        <v/>
      </c>
      <c r="AA62" s="26">
        <f>IF(学校マスタ!$A60="","",IF(AND(学校マスタ!$U60&lt;&gt;"",学校マスタ!$U60&gt;=AA$3,学校マスタ!$U60&lt;AA$3+7),"◎",IF(OR(AND(学校マスタ!$H60&lt;&gt;"",学校マスタ!$H60&gt;=AA$3,学校マスタ!$H60&lt;AA$3+7),AND(学校マスタ!$J60&lt;&gt;"",学校マスタ!$J60&gt;=AA$3,学校マスタ!$J60&lt;AA$3+7),AND(学校マスタ!$L60&lt;&gt;"",学校マスタ!$L60&gt;=AA$3,学校マスタ!$L60&lt;AA$3+7)),"◆",IF(AND(学校マスタ!$O60&lt;&gt;"",学校マスタ!$P60&lt;&gt;"",学校マスタ!$O60&lt;AA$3+7,学校マスタ!$P60&gt;=AA$3),"█",IF(AND(学校マスタ!$R60&lt;&gt;"",学校マスタ!$U60&lt;&gt;"",学校マスタ!$R60&lt;AA$3+7,学校マスタ!$U60&gt;=AA$3),"▒","")))))</f>
        <v/>
      </c>
      <c r="AB62" s="26">
        <f>IF(学校マスタ!$A60="","",IF(AND(学校マスタ!$U60&lt;&gt;"",学校マスタ!$U60&gt;=AB$3,学校マスタ!$U60&lt;AB$3+7),"◎",IF(OR(AND(学校マスタ!$H60&lt;&gt;"",学校マスタ!$H60&gt;=AB$3,学校マスタ!$H60&lt;AB$3+7),AND(学校マスタ!$J60&lt;&gt;"",学校マスタ!$J60&gt;=AB$3,学校マスタ!$J60&lt;AB$3+7),AND(学校マスタ!$L60&lt;&gt;"",学校マスタ!$L60&gt;=AB$3,学校マスタ!$L60&lt;AB$3+7)),"◆",IF(AND(学校マスタ!$O60&lt;&gt;"",学校マスタ!$P60&lt;&gt;"",学校マスタ!$O60&lt;AB$3+7,学校マスタ!$P60&gt;=AB$3),"█",IF(AND(学校マスタ!$R60&lt;&gt;"",学校マスタ!$U60&lt;&gt;"",学校マスタ!$R60&lt;AB$3+7,学校マスタ!$U60&gt;=AB$3),"▒","")))))</f>
        <v/>
      </c>
    </row>
    <row r="63">
      <c r="A63" s="19">
        <f>IF(学校マスタ!$A61="","",学校マスタ!$A61)</f>
        <v/>
      </c>
      <c r="B63" s="19">
        <f>IF(学校マスタ!$A61="","",学校マスタ!$C61)</f>
        <v/>
      </c>
      <c r="C63" s="19">
        <f>IF(学校マスタ!$A61="","",学校マスタ!$X61)</f>
        <v/>
      </c>
      <c r="D63" s="25">
        <f>IF(学校マスタ!$A61="","",学校マスタ!$R61)</f>
        <v/>
      </c>
      <c r="E63" s="26">
        <f>IF(学校マスタ!$A61="","",IF(AND(学校マスタ!$U61&lt;&gt;"",学校マスタ!$U61&gt;=E$3,学校マスタ!$U61&lt;E$3+7),"◎",IF(OR(AND(学校マスタ!$H61&lt;&gt;"",学校マスタ!$H61&gt;=E$3,学校マスタ!$H61&lt;E$3+7),AND(学校マスタ!$J61&lt;&gt;"",学校マスタ!$J61&gt;=E$3,学校マスタ!$J61&lt;E$3+7),AND(学校マスタ!$L61&lt;&gt;"",学校マスタ!$L61&gt;=E$3,学校マスタ!$L61&lt;E$3+7)),"◆",IF(AND(学校マスタ!$O61&lt;&gt;"",学校マスタ!$P61&lt;&gt;"",学校マスタ!$O61&lt;E$3+7,学校マスタ!$P61&gt;=E$3),"█",IF(AND(学校マスタ!$R61&lt;&gt;"",学校マスタ!$U61&lt;&gt;"",学校マスタ!$R61&lt;E$3+7,学校マスタ!$U61&gt;=E$3),"▒","")))))</f>
        <v/>
      </c>
      <c r="F63" s="26">
        <f>IF(学校マスタ!$A61="","",IF(AND(学校マスタ!$U61&lt;&gt;"",学校マスタ!$U61&gt;=F$3,学校マスタ!$U61&lt;F$3+7),"◎",IF(OR(AND(学校マスタ!$H61&lt;&gt;"",学校マスタ!$H61&gt;=F$3,学校マスタ!$H61&lt;F$3+7),AND(学校マスタ!$J61&lt;&gt;"",学校マスタ!$J61&gt;=F$3,学校マスタ!$J61&lt;F$3+7),AND(学校マスタ!$L61&lt;&gt;"",学校マスタ!$L61&gt;=F$3,学校マスタ!$L61&lt;F$3+7)),"◆",IF(AND(学校マスタ!$O61&lt;&gt;"",学校マスタ!$P61&lt;&gt;"",学校マスタ!$O61&lt;F$3+7,学校マスタ!$P61&gt;=F$3),"█",IF(AND(学校マスタ!$R61&lt;&gt;"",学校マスタ!$U61&lt;&gt;"",学校マスタ!$R61&lt;F$3+7,学校マスタ!$U61&gt;=F$3),"▒","")))))</f>
        <v/>
      </c>
      <c r="G63" s="26">
        <f>IF(学校マスタ!$A61="","",IF(AND(学校マスタ!$U61&lt;&gt;"",学校マスタ!$U61&gt;=G$3,学校マスタ!$U61&lt;G$3+7),"◎",IF(OR(AND(学校マスタ!$H61&lt;&gt;"",学校マスタ!$H61&gt;=G$3,学校マスタ!$H61&lt;G$3+7),AND(学校マスタ!$J61&lt;&gt;"",学校マスタ!$J61&gt;=G$3,学校マスタ!$J61&lt;G$3+7),AND(学校マスタ!$L61&lt;&gt;"",学校マスタ!$L61&gt;=G$3,学校マスタ!$L61&lt;G$3+7)),"◆",IF(AND(学校マスタ!$O61&lt;&gt;"",学校マスタ!$P61&lt;&gt;"",学校マスタ!$O61&lt;G$3+7,学校マスタ!$P61&gt;=G$3),"█",IF(AND(学校マスタ!$R61&lt;&gt;"",学校マスタ!$U61&lt;&gt;"",学校マスタ!$R61&lt;G$3+7,学校マスタ!$U61&gt;=G$3),"▒","")))))</f>
        <v/>
      </c>
      <c r="H63" s="26">
        <f>IF(学校マスタ!$A61="","",IF(AND(学校マスタ!$U61&lt;&gt;"",学校マスタ!$U61&gt;=H$3,学校マスタ!$U61&lt;H$3+7),"◎",IF(OR(AND(学校マスタ!$H61&lt;&gt;"",学校マスタ!$H61&gt;=H$3,学校マスタ!$H61&lt;H$3+7),AND(学校マスタ!$J61&lt;&gt;"",学校マスタ!$J61&gt;=H$3,学校マスタ!$J61&lt;H$3+7),AND(学校マスタ!$L61&lt;&gt;"",学校マスタ!$L61&gt;=H$3,学校マスタ!$L61&lt;H$3+7)),"◆",IF(AND(学校マスタ!$O61&lt;&gt;"",学校マスタ!$P61&lt;&gt;"",学校マスタ!$O61&lt;H$3+7,学校マスタ!$P61&gt;=H$3),"█",IF(AND(学校マスタ!$R61&lt;&gt;"",学校マスタ!$U61&lt;&gt;"",学校マスタ!$R61&lt;H$3+7,学校マスタ!$U61&gt;=H$3),"▒","")))))</f>
        <v/>
      </c>
      <c r="I63" s="26">
        <f>IF(学校マスタ!$A61="","",IF(AND(学校マスタ!$U61&lt;&gt;"",学校マスタ!$U61&gt;=I$3,学校マスタ!$U61&lt;I$3+7),"◎",IF(OR(AND(学校マスタ!$H61&lt;&gt;"",学校マスタ!$H61&gt;=I$3,学校マスタ!$H61&lt;I$3+7),AND(学校マスタ!$J61&lt;&gt;"",学校マスタ!$J61&gt;=I$3,学校マスタ!$J61&lt;I$3+7),AND(学校マスタ!$L61&lt;&gt;"",学校マスタ!$L61&gt;=I$3,学校マスタ!$L61&lt;I$3+7)),"◆",IF(AND(学校マスタ!$O61&lt;&gt;"",学校マスタ!$P61&lt;&gt;"",学校マスタ!$O61&lt;I$3+7,学校マスタ!$P61&gt;=I$3),"█",IF(AND(学校マスタ!$R61&lt;&gt;"",学校マスタ!$U61&lt;&gt;"",学校マスタ!$R61&lt;I$3+7,学校マスタ!$U61&gt;=I$3),"▒","")))))</f>
        <v/>
      </c>
      <c r="J63" s="26">
        <f>IF(学校マスタ!$A61="","",IF(AND(学校マスタ!$U61&lt;&gt;"",学校マスタ!$U61&gt;=J$3,学校マスタ!$U61&lt;J$3+7),"◎",IF(OR(AND(学校マスタ!$H61&lt;&gt;"",学校マスタ!$H61&gt;=J$3,学校マスタ!$H61&lt;J$3+7),AND(学校マスタ!$J61&lt;&gt;"",学校マスタ!$J61&gt;=J$3,学校マスタ!$J61&lt;J$3+7),AND(学校マスタ!$L61&lt;&gt;"",学校マスタ!$L61&gt;=J$3,学校マスタ!$L61&lt;J$3+7)),"◆",IF(AND(学校マスタ!$O61&lt;&gt;"",学校マスタ!$P61&lt;&gt;"",学校マスタ!$O61&lt;J$3+7,学校マスタ!$P61&gt;=J$3),"█",IF(AND(学校マスタ!$R61&lt;&gt;"",学校マスタ!$U61&lt;&gt;"",学校マスタ!$R61&lt;J$3+7,学校マスタ!$U61&gt;=J$3),"▒","")))))</f>
        <v/>
      </c>
      <c r="K63" s="26">
        <f>IF(学校マスタ!$A61="","",IF(AND(学校マスタ!$U61&lt;&gt;"",学校マスタ!$U61&gt;=K$3,学校マスタ!$U61&lt;K$3+7),"◎",IF(OR(AND(学校マスタ!$H61&lt;&gt;"",学校マスタ!$H61&gt;=K$3,学校マスタ!$H61&lt;K$3+7),AND(学校マスタ!$J61&lt;&gt;"",学校マスタ!$J61&gt;=K$3,学校マスタ!$J61&lt;K$3+7),AND(学校マスタ!$L61&lt;&gt;"",学校マスタ!$L61&gt;=K$3,学校マスタ!$L61&lt;K$3+7)),"◆",IF(AND(学校マスタ!$O61&lt;&gt;"",学校マスタ!$P61&lt;&gt;"",学校マスタ!$O61&lt;K$3+7,学校マスタ!$P61&gt;=K$3),"█",IF(AND(学校マスタ!$R61&lt;&gt;"",学校マスタ!$U61&lt;&gt;"",学校マスタ!$R61&lt;K$3+7,学校マスタ!$U61&gt;=K$3),"▒","")))))</f>
        <v/>
      </c>
      <c r="L63" s="26">
        <f>IF(学校マスタ!$A61="","",IF(AND(学校マスタ!$U61&lt;&gt;"",学校マスタ!$U61&gt;=L$3,学校マスタ!$U61&lt;L$3+7),"◎",IF(OR(AND(学校マスタ!$H61&lt;&gt;"",学校マスタ!$H61&gt;=L$3,学校マスタ!$H61&lt;L$3+7),AND(学校マスタ!$J61&lt;&gt;"",学校マスタ!$J61&gt;=L$3,学校マスタ!$J61&lt;L$3+7),AND(学校マスタ!$L61&lt;&gt;"",学校マスタ!$L61&gt;=L$3,学校マスタ!$L61&lt;L$3+7)),"◆",IF(AND(学校マスタ!$O61&lt;&gt;"",学校マスタ!$P61&lt;&gt;"",学校マスタ!$O61&lt;L$3+7,学校マスタ!$P61&gt;=L$3),"█",IF(AND(学校マスタ!$R61&lt;&gt;"",学校マスタ!$U61&lt;&gt;"",学校マスタ!$R61&lt;L$3+7,学校マスタ!$U61&gt;=L$3),"▒","")))))</f>
        <v/>
      </c>
      <c r="M63" s="26">
        <f>IF(学校マスタ!$A61="","",IF(AND(学校マスタ!$U61&lt;&gt;"",学校マスタ!$U61&gt;=M$3,学校マスタ!$U61&lt;M$3+7),"◎",IF(OR(AND(学校マスタ!$H61&lt;&gt;"",学校マスタ!$H61&gt;=M$3,学校マスタ!$H61&lt;M$3+7),AND(学校マスタ!$J61&lt;&gt;"",学校マスタ!$J61&gt;=M$3,学校マスタ!$J61&lt;M$3+7),AND(学校マスタ!$L61&lt;&gt;"",学校マスタ!$L61&gt;=M$3,学校マスタ!$L61&lt;M$3+7)),"◆",IF(AND(学校マスタ!$O61&lt;&gt;"",学校マスタ!$P61&lt;&gt;"",学校マスタ!$O61&lt;M$3+7,学校マスタ!$P61&gt;=M$3),"█",IF(AND(学校マスタ!$R61&lt;&gt;"",学校マスタ!$U61&lt;&gt;"",学校マスタ!$R61&lt;M$3+7,学校マスタ!$U61&gt;=M$3),"▒","")))))</f>
        <v/>
      </c>
      <c r="N63" s="26">
        <f>IF(学校マスタ!$A61="","",IF(AND(学校マスタ!$U61&lt;&gt;"",学校マスタ!$U61&gt;=N$3,学校マスタ!$U61&lt;N$3+7),"◎",IF(OR(AND(学校マスタ!$H61&lt;&gt;"",学校マスタ!$H61&gt;=N$3,学校マスタ!$H61&lt;N$3+7),AND(学校マスタ!$J61&lt;&gt;"",学校マスタ!$J61&gt;=N$3,学校マスタ!$J61&lt;N$3+7),AND(学校マスタ!$L61&lt;&gt;"",学校マスタ!$L61&gt;=N$3,学校マスタ!$L61&lt;N$3+7)),"◆",IF(AND(学校マスタ!$O61&lt;&gt;"",学校マスタ!$P61&lt;&gt;"",学校マスタ!$O61&lt;N$3+7,学校マスタ!$P61&gt;=N$3),"█",IF(AND(学校マスタ!$R61&lt;&gt;"",学校マスタ!$U61&lt;&gt;"",学校マスタ!$R61&lt;N$3+7,学校マスタ!$U61&gt;=N$3),"▒","")))))</f>
        <v/>
      </c>
      <c r="O63" s="26">
        <f>IF(学校マスタ!$A61="","",IF(AND(学校マスタ!$U61&lt;&gt;"",学校マスタ!$U61&gt;=O$3,学校マスタ!$U61&lt;O$3+7),"◎",IF(OR(AND(学校マスタ!$H61&lt;&gt;"",学校マスタ!$H61&gt;=O$3,学校マスタ!$H61&lt;O$3+7),AND(学校マスタ!$J61&lt;&gt;"",学校マスタ!$J61&gt;=O$3,学校マスタ!$J61&lt;O$3+7),AND(学校マスタ!$L61&lt;&gt;"",学校マスタ!$L61&gt;=O$3,学校マスタ!$L61&lt;O$3+7)),"◆",IF(AND(学校マスタ!$O61&lt;&gt;"",学校マスタ!$P61&lt;&gt;"",学校マスタ!$O61&lt;O$3+7,学校マスタ!$P61&gt;=O$3),"█",IF(AND(学校マスタ!$R61&lt;&gt;"",学校マスタ!$U61&lt;&gt;"",学校マスタ!$R61&lt;O$3+7,学校マスタ!$U61&gt;=O$3),"▒","")))))</f>
        <v/>
      </c>
      <c r="P63" s="26">
        <f>IF(学校マスタ!$A61="","",IF(AND(学校マスタ!$U61&lt;&gt;"",学校マスタ!$U61&gt;=P$3,学校マスタ!$U61&lt;P$3+7),"◎",IF(OR(AND(学校マスタ!$H61&lt;&gt;"",学校マスタ!$H61&gt;=P$3,学校マスタ!$H61&lt;P$3+7),AND(学校マスタ!$J61&lt;&gt;"",学校マスタ!$J61&gt;=P$3,学校マスタ!$J61&lt;P$3+7),AND(学校マスタ!$L61&lt;&gt;"",学校マスタ!$L61&gt;=P$3,学校マスタ!$L61&lt;P$3+7)),"◆",IF(AND(学校マスタ!$O61&lt;&gt;"",学校マスタ!$P61&lt;&gt;"",学校マスタ!$O61&lt;P$3+7,学校マスタ!$P61&gt;=P$3),"█",IF(AND(学校マスタ!$R61&lt;&gt;"",学校マスタ!$U61&lt;&gt;"",学校マスタ!$R61&lt;P$3+7,学校マスタ!$U61&gt;=P$3),"▒","")))))</f>
        <v/>
      </c>
      <c r="Q63" s="26">
        <f>IF(学校マスタ!$A61="","",IF(AND(学校マスタ!$U61&lt;&gt;"",学校マスタ!$U61&gt;=Q$3,学校マスタ!$U61&lt;Q$3+7),"◎",IF(OR(AND(学校マスタ!$H61&lt;&gt;"",学校マスタ!$H61&gt;=Q$3,学校マスタ!$H61&lt;Q$3+7),AND(学校マスタ!$J61&lt;&gt;"",学校マスタ!$J61&gt;=Q$3,学校マスタ!$J61&lt;Q$3+7),AND(学校マスタ!$L61&lt;&gt;"",学校マスタ!$L61&gt;=Q$3,学校マスタ!$L61&lt;Q$3+7)),"◆",IF(AND(学校マスタ!$O61&lt;&gt;"",学校マスタ!$P61&lt;&gt;"",学校マスタ!$O61&lt;Q$3+7,学校マスタ!$P61&gt;=Q$3),"█",IF(AND(学校マスタ!$R61&lt;&gt;"",学校マスタ!$U61&lt;&gt;"",学校マスタ!$R61&lt;Q$3+7,学校マスタ!$U61&gt;=Q$3),"▒","")))))</f>
        <v/>
      </c>
      <c r="R63" s="26">
        <f>IF(学校マスタ!$A61="","",IF(AND(学校マスタ!$U61&lt;&gt;"",学校マスタ!$U61&gt;=R$3,学校マスタ!$U61&lt;R$3+7),"◎",IF(OR(AND(学校マスタ!$H61&lt;&gt;"",学校マスタ!$H61&gt;=R$3,学校マスタ!$H61&lt;R$3+7),AND(学校マスタ!$J61&lt;&gt;"",学校マスタ!$J61&gt;=R$3,学校マスタ!$J61&lt;R$3+7),AND(学校マスタ!$L61&lt;&gt;"",学校マスタ!$L61&gt;=R$3,学校マスタ!$L61&lt;R$3+7)),"◆",IF(AND(学校マスタ!$O61&lt;&gt;"",学校マスタ!$P61&lt;&gt;"",学校マスタ!$O61&lt;R$3+7,学校マスタ!$P61&gt;=R$3),"█",IF(AND(学校マスタ!$R61&lt;&gt;"",学校マスタ!$U61&lt;&gt;"",学校マスタ!$R61&lt;R$3+7,学校マスタ!$U61&gt;=R$3),"▒","")))))</f>
        <v/>
      </c>
      <c r="S63" s="26">
        <f>IF(学校マスタ!$A61="","",IF(AND(学校マスタ!$U61&lt;&gt;"",学校マスタ!$U61&gt;=S$3,学校マスタ!$U61&lt;S$3+7),"◎",IF(OR(AND(学校マスタ!$H61&lt;&gt;"",学校マスタ!$H61&gt;=S$3,学校マスタ!$H61&lt;S$3+7),AND(学校マスタ!$J61&lt;&gt;"",学校マスタ!$J61&gt;=S$3,学校マスタ!$J61&lt;S$3+7),AND(学校マスタ!$L61&lt;&gt;"",学校マスタ!$L61&gt;=S$3,学校マスタ!$L61&lt;S$3+7)),"◆",IF(AND(学校マスタ!$O61&lt;&gt;"",学校マスタ!$P61&lt;&gt;"",学校マスタ!$O61&lt;S$3+7,学校マスタ!$P61&gt;=S$3),"█",IF(AND(学校マスタ!$R61&lt;&gt;"",学校マスタ!$U61&lt;&gt;"",学校マスタ!$R61&lt;S$3+7,学校マスタ!$U61&gt;=S$3),"▒","")))))</f>
        <v/>
      </c>
      <c r="T63" s="26">
        <f>IF(学校マスタ!$A61="","",IF(AND(学校マスタ!$U61&lt;&gt;"",学校マスタ!$U61&gt;=T$3,学校マスタ!$U61&lt;T$3+7),"◎",IF(OR(AND(学校マスタ!$H61&lt;&gt;"",学校マスタ!$H61&gt;=T$3,学校マスタ!$H61&lt;T$3+7),AND(学校マスタ!$J61&lt;&gt;"",学校マスタ!$J61&gt;=T$3,学校マスタ!$J61&lt;T$3+7),AND(学校マスタ!$L61&lt;&gt;"",学校マスタ!$L61&gt;=T$3,学校マスタ!$L61&lt;T$3+7)),"◆",IF(AND(学校マスタ!$O61&lt;&gt;"",学校マスタ!$P61&lt;&gt;"",学校マスタ!$O61&lt;T$3+7,学校マスタ!$P61&gt;=T$3),"█",IF(AND(学校マスタ!$R61&lt;&gt;"",学校マスタ!$U61&lt;&gt;"",学校マスタ!$R61&lt;T$3+7,学校マスタ!$U61&gt;=T$3),"▒","")))))</f>
        <v/>
      </c>
      <c r="U63" s="26">
        <f>IF(学校マスタ!$A61="","",IF(AND(学校マスタ!$U61&lt;&gt;"",学校マスタ!$U61&gt;=U$3,学校マスタ!$U61&lt;U$3+7),"◎",IF(OR(AND(学校マスタ!$H61&lt;&gt;"",学校マスタ!$H61&gt;=U$3,学校マスタ!$H61&lt;U$3+7),AND(学校マスタ!$J61&lt;&gt;"",学校マスタ!$J61&gt;=U$3,学校マスタ!$J61&lt;U$3+7),AND(学校マスタ!$L61&lt;&gt;"",学校マスタ!$L61&gt;=U$3,学校マスタ!$L61&lt;U$3+7)),"◆",IF(AND(学校マスタ!$O61&lt;&gt;"",学校マスタ!$P61&lt;&gt;"",学校マスタ!$O61&lt;U$3+7,学校マスタ!$P61&gt;=U$3),"█",IF(AND(学校マスタ!$R61&lt;&gt;"",学校マスタ!$U61&lt;&gt;"",学校マスタ!$R61&lt;U$3+7,学校マスタ!$U61&gt;=U$3),"▒","")))))</f>
        <v/>
      </c>
      <c r="V63" s="26">
        <f>IF(学校マスタ!$A61="","",IF(AND(学校マスタ!$U61&lt;&gt;"",学校マスタ!$U61&gt;=V$3,学校マスタ!$U61&lt;V$3+7),"◎",IF(OR(AND(学校マスタ!$H61&lt;&gt;"",学校マスタ!$H61&gt;=V$3,学校マスタ!$H61&lt;V$3+7),AND(学校マスタ!$J61&lt;&gt;"",学校マスタ!$J61&gt;=V$3,学校マスタ!$J61&lt;V$3+7),AND(学校マスタ!$L61&lt;&gt;"",学校マスタ!$L61&gt;=V$3,学校マスタ!$L61&lt;V$3+7)),"◆",IF(AND(学校マスタ!$O61&lt;&gt;"",学校マスタ!$P61&lt;&gt;"",学校マスタ!$O61&lt;V$3+7,学校マスタ!$P61&gt;=V$3),"█",IF(AND(学校マスタ!$R61&lt;&gt;"",学校マスタ!$U61&lt;&gt;"",学校マスタ!$R61&lt;V$3+7,学校マスタ!$U61&gt;=V$3),"▒","")))))</f>
        <v/>
      </c>
      <c r="W63" s="26">
        <f>IF(学校マスタ!$A61="","",IF(AND(学校マスタ!$U61&lt;&gt;"",学校マスタ!$U61&gt;=W$3,学校マスタ!$U61&lt;W$3+7),"◎",IF(OR(AND(学校マスタ!$H61&lt;&gt;"",学校マスタ!$H61&gt;=W$3,学校マスタ!$H61&lt;W$3+7),AND(学校マスタ!$J61&lt;&gt;"",学校マスタ!$J61&gt;=W$3,学校マスタ!$J61&lt;W$3+7),AND(学校マスタ!$L61&lt;&gt;"",学校マスタ!$L61&gt;=W$3,学校マスタ!$L61&lt;W$3+7)),"◆",IF(AND(学校マスタ!$O61&lt;&gt;"",学校マスタ!$P61&lt;&gt;"",学校マスタ!$O61&lt;W$3+7,学校マスタ!$P61&gt;=W$3),"█",IF(AND(学校マスタ!$R61&lt;&gt;"",学校マスタ!$U61&lt;&gt;"",学校マスタ!$R61&lt;W$3+7,学校マスタ!$U61&gt;=W$3),"▒","")))))</f>
        <v/>
      </c>
      <c r="X63" s="26">
        <f>IF(学校マスタ!$A61="","",IF(AND(学校マスタ!$U61&lt;&gt;"",学校マスタ!$U61&gt;=X$3,学校マスタ!$U61&lt;X$3+7),"◎",IF(OR(AND(学校マスタ!$H61&lt;&gt;"",学校マスタ!$H61&gt;=X$3,学校マスタ!$H61&lt;X$3+7),AND(学校マスタ!$J61&lt;&gt;"",学校マスタ!$J61&gt;=X$3,学校マスタ!$J61&lt;X$3+7),AND(学校マスタ!$L61&lt;&gt;"",学校マスタ!$L61&gt;=X$3,学校マスタ!$L61&lt;X$3+7)),"◆",IF(AND(学校マスタ!$O61&lt;&gt;"",学校マスタ!$P61&lt;&gt;"",学校マスタ!$O61&lt;X$3+7,学校マスタ!$P61&gt;=X$3),"█",IF(AND(学校マスタ!$R61&lt;&gt;"",学校マスタ!$U61&lt;&gt;"",学校マスタ!$R61&lt;X$3+7,学校マスタ!$U61&gt;=X$3),"▒","")))))</f>
        <v/>
      </c>
      <c r="Y63" s="26">
        <f>IF(学校マスタ!$A61="","",IF(AND(学校マスタ!$U61&lt;&gt;"",学校マスタ!$U61&gt;=Y$3,学校マスタ!$U61&lt;Y$3+7),"◎",IF(OR(AND(学校マスタ!$H61&lt;&gt;"",学校マスタ!$H61&gt;=Y$3,学校マスタ!$H61&lt;Y$3+7),AND(学校マスタ!$J61&lt;&gt;"",学校マスタ!$J61&gt;=Y$3,学校マスタ!$J61&lt;Y$3+7),AND(学校マスタ!$L61&lt;&gt;"",学校マスタ!$L61&gt;=Y$3,学校マスタ!$L61&lt;Y$3+7)),"◆",IF(AND(学校マスタ!$O61&lt;&gt;"",学校マスタ!$P61&lt;&gt;"",学校マスタ!$O61&lt;Y$3+7,学校マスタ!$P61&gt;=Y$3),"█",IF(AND(学校マスタ!$R61&lt;&gt;"",学校マスタ!$U61&lt;&gt;"",学校マスタ!$R61&lt;Y$3+7,学校マスタ!$U61&gt;=Y$3),"▒","")))))</f>
        <v/>
      </c>
      <c r="Z63" s="26">
        <f>IF(学校マスタ!$A61="","",IF(AND(学校マスタ!$U61&lt;&gt;"",学校マスタ!$U61&gt;=Z$3,学校マスタ!$U61&lt;Z$3+7),"◎",IF(OR(AND(学校マスタ!$H61&lt;&gt;"",学校マスタ!$H61&gt;=Z$3,学校マスタ!$H61&lt;Z$3+7),AND(学校マスタ!$J61&lt;&gt;"",学校マスタ!$J61&gt;=Z$3,学校マスタ!$J61&lt;Z$3+7),AND(学校マスタ!$L61&lt;&gt;"",学校マスタ!$L61&gt;=Z$3,学校マスタ!$L61&lt;Z$3+7)),"◆",IF(AND(学校マスタ!$O61&lt;&gt;"",学校マスタ!$P61&lt;&gt;"",学校マスタ!$O61&lt;Z$3+7,学校マスタ!$P61&gt;=Z$3),"█",IF(AND(学校マスタ!$R61&lt;&gt;"",学校マスタ!$U61&lt;&gt;"",学校マスタ!$R61&lt;Z$3+7,学校マスタ!$U61&gt;=Z$3),"▒","")))))</f>
        <v/>
      </c>
      <c r="AA63" s="26">
        <f>IF(学校マスタ!$A61="","",IF(AND(学校マスタ!$U61&lt;&gt;"",学校マスタ!$U61&gt;=AA$3,学校マスタ!$U61&lt;AA$3+7),"◎",IF(OR(AND(学校マスタ!$H61&lt;&gt;"",学校マスタ!$H61&gt;=AA$3,学校マスタ!$H61&lt;AA$3+7),AND(学校マスタ!$J61&lt;&gt;"",学校マスタ!$J61&gt;=AA$3,学校マスタ!$J61&lt;AA$3+7),AND(学校マスタ!$L61&lt;&gt;"",学校マスタ!$L61&gt;=AA$3,学校マスタ!$L61&lt;AA$3+7)),"◆",IF(AND(学校マスタ!$O61&lt;&gt;"",学校マスタ!$P61&lt;&gt;"",学校マスタ!$O61&lt;AA$3+7,学校マスタ!$P61&gt;=AA$3),"█",IF(AND(学校マスタ!$R61&lt;&gt;"",学校マスタ!$U61&lt;&gt;"",学校マスタ!$R61&lt;AA$3+7,学校マスタ!$U61&gt;=AA$3),"▒","")))))</f>
        <v/>
      </c>
      <c r="AB63" s="26">
        <f>IF(学校マスタ!$A61="","",IF(AND(学校マスタ!$U61&lt;&gt;"",学校マスタ!$U61&gt;=AB$3,学校マスタ!$U61&lt;AB$3+7),"◎",IF(OR(AND(学校マスタ!$H61&lt;&gt;"",学校マスタ!$H61&gt;=AB$3,学校マスタ!$H61&lt;AB$3+7),AND(学校マスタ!$J61&lt;&gt;"",学校マスタ!$J61&gt;=AB$3,学校マスタ!$J61&lt;AB$3+7),AND(学校マスタ!$L61&lt;&gt;"",学校マスタ!$L61&gt;=AB$3,学校マスタ!$L61&lt;AB$3+7)),"◆",IF(AND(学校マスタ!$O61&lt;&gt;"",学校マスタ!$P61&lt;&gt;"",学校マスタ!$O61&lt;AB$3+7,学校マスタ!$P61&gt;=AB$3),"█",IF(AND(学校マスタ!$R61&lt;&gt;"",学校マスタ!$U61&lt;&gt;"",学校マスタ!$R61&lt;AB$3+7,学校マスタ!$U61&gt;=AB$3),"▒","")))))</f>
        <v/>
      </c>
    </row>
    <row r="64">
      <c r="A64" s="19">
        <f>IF(学校マスタ!$A62="","",学校マスタ!$A62)</f>
        <v/>
      </c>
      <c r="B64" s="19">
        <f>IF(学校マスタ!$A62="","",学校マスタ!$C62)</f>
        <v/>
      </c>
      <c r="C64" s="19">
        <f>IF(学校マスタ!$A62="","",学校マスタ!$X62)</f>
        <v/>
      </c>
      <c r="D64" s="25">
        <f>IF(学校マスタ!$A62="","",学校マスタ!$R62)</f>
        <v/>
      </c>
      <c r="E64" s="26">
        <f>IF(学校マスタ!$A62="","",IF(AND(学校マスタ!$U62&lt;&gt;"",学校マスタ!$U62&gt;=E$3,学校マスタ!$U62&lt;E$3+7),"◎",IF(OR(AND(学校マスタ!$H62&lt;&gt;"",学校マスタ!$H62&gt;=E$3,学校マスタ!$H62&lt;E$3+7),AND(学校マスタ!$J62&lt;&gt;"",学校マスタ!$J62&gt;=E$3,学校マスタ!$J62&lt;E$3+7),AND(学校マスタ!$L62&lt;&gt;"",学校マスタ!$L62&gt;=E$3,学校マスタ!$L62&lt;E$3+7)),"◆",IF(AND(学校マスタ!$O62&lt;&gt;"",学校マスタ!$P62&lt;&gt;"",学校マスタ!$O62&lt;E$3+7,学校マスタ!$P62&gt;=E$3),"█",IF(AND(学校マスタ!$R62&lt;&gt;"",学校マスタ!$U62&lt;&gt;"",学校マスタ!$R62&lt;E$3+7,学校マスタ!$U62&gt;=E$3),"▒","")))))</f>
        <v/>
      </c>
      <c r="F64" s="26">
        <f>IF(学校マスタ!$A62="","",IF(AND(学校マスタ!$U62&lt;&gt;"",学校マスタ!$U62&gt;=F$3,学校マスタ!$U62&lt;F$3+7),"◎",IF(OR(AND(学校マスタ!$H62&lt;&gt;"",学校マスタ!$H62&gt;=F$3,学校マスタ!$H62&lt;F$3+7),AND(学校マスタ!$J62&lt;&gt;"",学校マスタ!$J62&gt;=F$3,学校マスタ!$J62&lt;F$3+7),AND(学校マスタ!$L62&lt;&gt;"",学校マスタ!$L62&gt;=F$3,学校マスタ!$L62&lt;F$3+7)),"◆",IF(AND(学校マスタ!$O62&lt;&gt;"",学校マスタ!$P62&lt;&gt;"",学校マスタ!$O62&lt;F$3+7,学校マスタ!$P62&gt;=F$3),"█",IF(AND(学校マスタ!$R62&lt;&gt;"",学校マスタ!$U62&lt;&gt;"",学校マスタ!$R62&lt;F$3+7,学校マスタ!$U62&gt;=F$3),"▒","")))))</f>
        <v/>
      </c>
      <c r="G64" s="26">
        <f>IF(学校マスタ!$A62="","",IF(AND(学校マスタ!$U62&lt;&gt;"",学校マスタ!$U62&gt;=G$3,学校マスタ!$U62&lt;G$3+7),"◎",IF(OR(AND(学校マスタ!$H62&lt;&gt;"",学校マスタ!$H62&gt;=G$3,学校マスタ!$H62&lt;G$3+7),AND(学校マスタ!$J62&lt;&gt;"",学校マスタ!$J62&gt;=G$3,学校マスタ!$J62&lt;G$3+7),AND(学校マスタ!$L62&lt;&gt;"",学校マスタ!$L62&gt;=G$3,学校マスタ!$L62&lt;G$3+7)),"◆",IF(AND(学校マスタ!$O62&lt;&gt;"",学校マスタ!$P62&lt;&gt;"",学校マスタ!$O62&lt;G$3+7,学校マスタ!$P62&gt;=G$3),"█",IF(AND(学校マスタ!$R62&lt;&gt;"",学校マスタ!$U62&lt;&gt;"",学校マスタ!$R62&lt;G$3+7,学校マスタ!$U62&gt;=G$3),"▒","")))))</f>
        <v/>
      </c>
      <c r="H64" s="26">
        <f>IF(学校マスタ!$A62="","",IF(AND(学校マスタ!$U62&lt;&gt;"",学校マスタ!$U62&gt;=H$3,学校マスタ!$U62&lt;H$3+7),"◎",IF(OR(AND(学校マスタ!$H62&lt;&gt;"",学校マスタ!$H62&gt;=H$3,学校マスタ!$H62&lt;H$3+7),AND(学校マスタ!$J62&lt;&gt;"",学校マスタ!$J62&gt;=H$3,学校マスタ!$J62&lt;H$3+7),AND(学校マスタ!$L62&lt;&gt;"",学校マスタ!$L62&gt;=H$3,学校マスタ!$L62&lt;H$3+7)),"◆",IF(AND(学校マスタ!$O62&lt;&gt;"",学校マスタ!$P62&lt;&gt;"",学校マスタ!$O62&lt;H$3+7,学校マスタ!$P62&gt;=H$3),"█",IF(AND(学校マスタ!$R62&lt;&gt;"",学校マスタ!$U62&lt;&gt;"",学校マスタ!$R62&lt;H$3+7,学校マスタ!$U62&gt;=H$3),"▒","")))))</f>
        <v/>
      </c>
      <c r="I64" s="26">
        <f>IF(学校マスタ!$A62="","",IF(AND(学校マスタ!$U62&lt;&gt;"",学校マスタ!$U62&gt;=I$3,学校マスタ!$U62&lt;I$3+7),"◎",IF(OR(AND(学校マスタ!$H62&lt;&gt;"",学校マスタ!$H62&gt;=I$3,学校マスタ!$H62&lt;I$3+7),AND(学校マスタ!$J62&lt;&gt;"",学校マスタ!$J62&gt;=I$3,学校マスタ!$J62&lt;I$3+7),AND(学校マスタ!$L62&lt;&gt;"",学校マスタ!$L62&gt;=I$3,学校マスタ!$L62&lt;I$3+7)),"◆",IF(AND(学校マスタ!$O62&lt;&gt;"",学校マスタ!$P62&lt;&gt;"",学校マスタ!$O62&lt;I$3+7,学校マスタ!$P62&gt;=I$3),"█",IF(AND(学校マスタ!$R62&lt;&gt;"",学校マスタ!$U62&lt;&gt;"",学校マスタ!$R62&lt;I$3+7,学校マスタ!$U62&gt;=I$3),"▒","")))))</f>
        <v/>
      </c>
      <c r="J64" s="26">
        <f>IF(学校マスタ!$A62="","",IF(AND(学校マスタ!$U62&lt;&gt;"",学校マスタ!$U62&gt;=J$3,学校マスタ!$U62&lt;J$3+7),"◎",IF(OR(AND(学校マスタ!$H62&lt;&gt;"",学校マスタ!$H62&gt;=J$3,学校マスタ!$H62&lt;J$3+7),AND(学校マスタ!$J62&lt;&gt;"",学校マスタ!$J62&gt;=J$3,学校マスタ!$J62&lt;J$3+7),AND(学校マスタ!$L62&lt;&gt;"",学校マスタ!$L62&gt;=J$3,学校マスタ!$L62&lt;J$3+7)),"◆",IF(AND(学校マスタ!$O62&lt;&gt;"",学校マスタ!$P62&lt;&gt;"",学校マスタ!$O62&lt;J$3+7,学校マスタ!$P62&gt;=J$3),"█",IF(AND(学校マスタ!$R62&lt;&gt;"",学校マスタ!$U62&lt;&gt;"",学校マスタ!$R62&lt;J$3+7,学校マスタ!$U62&gt;=J$3),"▒","")))))</f>
        <v/>
      </c>
      <c r="K64" s="26">
        <f>IF(学校マスタ!$A62="","",IF(AND(学校マスタ!$U62&lt;&gt;"",学校マスタ!$U62&gt;=K$3,学校マスタ!$U62&lt;K$3+7),"◎",IF(OR(AND(学校マスタ!$H62&lt;&gt;"",学校マスタ!$H62&gt;=K$3,学校マスタ!$H62&lt;K$3+7),AND(学校マスタ!$J62&lt;&gt;"",学校マスタ!$J62&gt;=K$3,学校マスタ!$J62&lt;K$3+7),AND(学校マスタ!$L62&lt;&gt;"",学校マスタ!$L62&gt;=K$3,学校マスタ!$L62&lt;K$3+7)),"◆",IF(AND(学校マスタ!$O62&lt;&gt;"",学校マスタ!$P62&lt;&gt;"",学校マスタ!$O62&lt;K$3+7,学校マスタ!$P62&gt;=K$3),"█",IF(AND(学校マスタ!$R62&lt;&gt;"",学校マスタ!$U62&lt;&gt;"",学校マスタ!$R62&lt;K$3+7,学校マスタ!$U62&gt;=K$3),"▒","")))))</f>
        <v/>
      </c>
      <c r="L64" s="26">
        <f>IF(学校マスタ!$A62="","",IF(AND(学校マスタ!$U62&lt;&gt;"",学校マスタ!$U62&gt;=L$3,学校マスタ!$U62&lt;L$3+7),"◎",IF(OR(AND(学校マスタ!$H62&lt;&gt;"",学校マスタ!$H62&gt;=L$3,学校マスタ!$H62&lt;L$3+7),AND(学校マスタ!$J62&lt;&gt;"",学校マスタ!$J62&gt;=L$3,学校マスタ!$J62&lt;L$3+7),AND(学校マスタ!$L62&lt;&gt;"",学校マスタ!$L62&gt;=L$3,学校マスタ!$L62&lt;L$3+7)),"◆",IF(AND(学校マスタ!$O62&lt;&gt;"",学校マスタ!$P62&lt;&gt;"",学校マスタ!$O62&lt;L$3+7,学校マスタ!$P62&gt;=L$3),"█",IF(AND(学校マスタ!$R62&lt;&gt;"",学校マスタ!$U62&lt;&gt;"",学校マスタ!$R62&lt;L$3+7,学校マスタ!$U62&gt;=L$3),"▒","")))))</f>
        <v/>
      </c>
      <c r="M64" s="26">
        <f>IF(学校マスタ!$A62="","",IF(AND(学校マスタ!$U62&lt;&gt;"",学校マスタ!$U62&gt;=M$3,学校マスタ!$U62&lt;M$3+7),"◎",IF(OR(AND(学校マスタ!$H62&lt;&gt;"",学校マスタ!$H62&gt;=M$3,学校マスタ!$H62&lt;M$3+7),AND(学校マスタ!$J62&lt;&gt;"",学校マスタ!$J62&gt;=M$3,学校マスタ!$J62&lt;M$3+7),AND(学校マスタ!$L62&lt;&gt;"",学校マスタ!$L62&gt;=M$3,学校マスタ!$L62&lt;M$3+7)),"◆",IF(AND(学校マスタ!$O62&lt;&gt;"",学校マスタ!$P62&lt;&gt;"",学校マスタ!$O62&lt;M$3+7,学校マスタ!$P62&gt;=M$3),"█",IF(AND(学校マスタ!$R62&lt;&gt;"",学校マスタ!$U62&lt;&gt;"",学校マスタ!$R62&lt;M$3+7,学校マスタ!$U62&gt;=M$3),"▒","")))))</f>
        <v/>
      </c>
      <c r="N64" s="26">
        <f>IF(学校マスタ!$A62="","",IF(AND(学校マスタ!$U62&lt;&gt;"",学校マスタ!$U62&gt;=N$3,学校マスタ!$U62&lt;N$3+7),"◎",IF(OR(AND(学校マスタ!$H62&lt;&gt;"",学校マスタ!$H62&gt;=N$3,学校マスタ!$H62&lt;N$3+7),AND(学校マスタ!$J62&lt;&gt;"",学校マスタ!$J62&gt;=N$3,学校マスタ!$J62&lt;N$3+7),AND(学校マスタ!$L62&lt;&gt;"",学校マスタ!$L62&gt;=N$3,学校マスタ!$L62&lt;N$3+7)),"◆",IF(AND(学校マスタ!$O62&lt;&gt;"",学校マスタ!$P62&lt;&gt;"",学校マスタ!$O62&lt;N$3+7,学校マスタ!$P62&gt;=N$3),"█",IF(AND(学校マスタ!$R62&lt;&gt;"",学校マスタ!$U62&lt;&gt;"",学校マスタ!$R62&lt;N$3+7,学校マスタ!$U62&gt;=N$3),"▒","")))))</f>
        <v/>
      </c>
      <c r="O64" s="26">
        <f>IF(学校マスタ!$A62="","",IF(AND(学校マスタ!$U62&lt;&gt;"",学校マスタ!$U62&gt;=O$3,学校マスタ!$U62&lt;O$3+7),"◎",IF(OR(AND(学校マスタ!$H62&lt;&gt;"",学校マスタ!$H62&gt;=O$3,学校マスタ!$H62&lt;O$3+7),AND(学校マスタ!$J62&lt;&gt;"",学校マスタ!$J62&gt;=O$3,学校マスタ!$J62&lt;O$3+7),AND(学校マスタ!$L62&lt;&gt;"",学校マスタ!$L62&gt;=O$3,学校マスタ!$L62&lt;O$3+7)),"◆",IF(AND(学校マスタ!$O62&lt;&gt;"",学校マスタ!$P62&lt;&gt;"",学校マスタ!$O62&lt;O$3+7,学校マスタ!$P62&gt;=O$3),"█",IF(AND(学校マスタ!$R62&lt;&gt;"",学校マスタ!$U62&lt;&gt;"",学校マスタ!$R62&lt;O$3+7,学校マスタ!$U62&gt;=O$3),"▒","")))))</f>
        <v/>
      </c>
      <c r="P64" s="26">
        <f>IF(学校マスタ!$A62="","",IF(AND(学校マスタ!$U62&lt;&gt;"",学校マスタ!$U62&gt;=P$3,学校マスタ!$U62&lt;P$3+7),"◎",IF(OR(AND(学校マスタ!$H62&lt;&gt;"",学校マスタ!$H62&gt;=P$3,学校マスタ!$H62&lt;P$3+7),AND(学校マスタ!$J62&lt;&gt;"",学校マスタ!$J62&gt;=P$3,学校マスタ!$J62&lt;P$3+7),AND(学校マスタ!$L62&lt;&gt;"",学校マスタ!$L62&gt;=P$3,学校マスタ!$L62&lt;P$3+7)),"◆",IF(AND(学校マスタ!$O62&lt;&gt;"",学校マスタ!$P62&lt;&gt;"",学校マスタ!$O62&lt;P$3+7,学校マスタ!$P62&gt;=P$3),"█",IF(AND(学校マスタ!$R62&lt;&gt;"",学校マスタ!$U62&lt;&gt;"",学校マスタ!$R62&lt;P$3+7,学校マスタ!$U62&gt;=P$3),"▒","")))))</f>
        <v/>
      </c>
      <c r="Q64" s="26">
        <f>IF(学校マスタ!$A62="","",IF(AND(学校マスタ!$U62&lt;&gt;"",学校マスタ!$U62&gt;=Q$3,学校マスタ!$U62&lt;Q$3+7),"◎",IF(OR(AND(学校マスタ!$H62&lt;&gt;"",学校マスタ!$H62&gt;=Q$3,学校マスタ!$H62&lt;Q$3+7),AND(学校マスタ!$J62&lt;&gt;"",学校マスタ!$J62&gt;=Q$3,学校マスタ!$J62&lt;Q$3+7),AND(学校マスタ!$L62&lt;&gt;"",学校マスタ!$L62&gt;=Q$3,学校マスタ!$L62&lt;Q$3+7)),"◆",IF(AND(学校マスタ!$O62&lt;&gt;"",学校マスタ!$P62&lt;&gt;"",学校マスタ!$O62&lt;Q$3+7,学校マスタ!$P62&gt;=Q$3),"█",IF(AND(学校マスタ!$R62&lt;&gt;"",学校マスタ!$U62&lt;&gt;"",学校マスタ!$R62&lt;Q$3+7,学校マスタ!$U62&gt;=Q$3),"▒","")))))</f>
        <v/>
      </c>
      <c r="R64" s="26">
        <f>IF(学校マスタ!$A62="","",IF(AND(学校マスタ!$U62&lt;&gt;"",学校マスタ!$U62&gt;=R$3,学校マスタ!$U62&lt;R$3+7),"◎",IF(OR(AND(学校マスタ!$H62&lt;&gt;"",学校マスタ!$H62&gt;=R$3,学校マスタ!$H62&lt;R$3+7),AND(学校マスタ!$J62&lt;&gt;"",学校マスタ!$J62&gt;=R$3,学校マスタ!$J62&lt;R$3+7),AND(学校マスタ!$L62&lt;&gt;"",学校マスタ!$L62&gt;=R$3,学校マスタ!$L62&lt;R$3+7)),"◆",IF(AND(学校マスタ!$O62&lt;&gt;"",学校マスタ!$P62&lt;&gt;"",学校マスタ!$O62&lt;R$3+7,学校マスタ!$P62&gt;=R$3),"█",IF(AND(学校マスタ!$R62&lt;&gt;"",学校マスタ!$U62&lt;&gt;"",学校マスタ!$R62&lt;R$3+7,学校マスタ!$U62&gt;=R$3),"▒","")))))</f>
        <v/>
      </c>
      <c r="S64" s="26">
        <f>IF(学校マスタ!$A62="","",IF(AND(学校マスタ!$U62&lt;&gt;"",学校マスタ!$U62&gt;=S$3,学校マスタ!$U62&lt;S$3+7),"◎",IF(OR(AND(学校マスタ!$H62&lt;&gt;"",学校マスタ!$H62&gt;=S$3,学校マスタ!$H62&lt;S$3+7),AND(学校マスタ!$J62&lt;&gt;"",学校マスタ!$J62&gt;=S$3,学校マスタ!$J62&lt;S$3+7),AND(学校マスタ!$L62&lt;&gt;"",学校マスタ!$L62&gt;=S$3,学校マスタ!$L62&lt;S$3+7)),"◆",IF(AND(学校マスタ!$O62&lt;&gt;"",学校マスタ!$P62&lt;&gt;"",学校マスタ!$O62&lt;S$3+7,学校マスタ!$P62&gt;=S$3),"█",IF(AND(学校マスタ!$R62&lt;&gt;"",学校マスタ!$U62&lt;&gt;"",学校マスタ!$R62&lt;S$3+7,学校マスタ!$U62&gt;=S$3),"▒","")))))</f>
        <v/>
      </c>
      <c r="T64" s="26">
        <f>IF(学校マスタ!$A62="","",IF(AND(学校マスタ!$U62&lt;&gt;"",学校マスタ!$U62&gt;=T$3,学校マスタ!$U62&lt;T$3+7),"◎",IF(OR(AND(学校マスタ!$H62&lt;&gt;"",学校マスタ!$H62&gt;=T$3,学校マスタ!$H62&lt;T$3+7),AND(学校マスタ!$J62&lt;&gt;"",学校マスタ!$J62&gt;=T$3,学校マスタ!$J62&lt;T$3+7),AND(学校マスタ!$L62&lt;&gt;"",学校マスタ!$L62&gt;=T$3,学校マスタ!$L62&lt;T$3+7)),"◆",IF(AND(学校マスタ!$O62&lt;&gt;"",学校マスタ!$P62&lt;&gt;"",学校マスタ!$O62&lt;T$3+7,学校マスタ!$P62&gt;=T$3),"█",IF(AND(学校マスタ!$R62&lt;&gt;"",学校マスタ!$U62&lt;&gt;"",学校マスタ!$R62&lt;T$3+7,学校マスタ!$U62&gt;=T$3),"▒","")))))</f>
        <v/>
      </c>
      <c r="U64" s="26">
        <f>IF(学校マスタ!$A62="","",IF(AND(学校マスタ!$U62&lt;&gt;"",学校マスタ!$U62&gt;=U$3,学校マスタ!$U62&lt;U$3+7),"◎",IF(OR(AND(学校マスタ!$H62&lt;&gt;"",学校マスタ!$H62&gt;=U$3,学校マスタ!$H62&lt;U$3+7),AND(学校マスタ!$J62&lt;&gt;"",学校マスタ!$J62&gt;=U$3,学校マスタ!$J62&lt;U$3+7),AND(学校マスタ!$L62&lt;&gt;"",学校マスタ!$L62&gt;=U$3,学校マスタ!$L62&lt;U$3+7)),"◆",IF(AND(学校マスタ!$O62&lt;&gt;"",学校マスタ!$P62&lt;&gt;"",学校マスタ!$O62&lt;U$3+7,学校マスタ!$P62&gt;=U$3),"█",IF(AND(学校マスタ!$R62&lt;&gt;"",学校マスタ!$U62&lt;&gt;"",学校マスタ!$R62&lt;U$3+7,学校マスタ!$U62&gt;=U$3),"▒","")))))</f>
        <v/>
      </c>
      <c r="V64" s="26">
        <f>IF(学校マスタ!$A62="","",IF(AND(学校マスタ!$U62&lt;&gt;"",学校マスタ!$U62&gt;=V$3,学校マスタ!$U62&lt;V$3+7),"◎",IF(OR(AND(学校マスタ!$H62&lt;&gt;"",学校マスタ!$H62&gt;=V$3,学校マスタ!$H62&lt;V$3+7),AND(学校マスタ!$J62&lt;&gt;"",学校マスタ!$J62&gt;=V$3,学校マスタ!$J62&lt;V$3+7),AND(学校マスタ!$L62&lt;&gt;"",学校マスタ!$L62&gt;=V$3,学校マスタ!$L62&lt;V$3+7)),"◆",IF(AND(学校マスタ!$O62&lt;&gt;"",学校マスタ!$P62&lt;&gt;"",学校マスタ!$O62&lt;V$3+7,学校マスタ!$P62&gt;=V$3),"█",IF(AND(学校マスタ!$R62&lt;&gt;"",学校マスタ!$U62&lt;&gt;"",学校マスタ!$R62&lt;V$3+7,学校マスタ!$U62&gt;=V$3),"▒","")))))</f>
        <v/>
      </c>
      <c r="W64" s="26">
        <f>IF(学校マスタ!$A62="","",IF(AND(学校マスタ!$U62&lt;&gt;"",学校マスタ!$U62&gt;=W$3,学校マスタ!$U62&lt;W$3+7),"◎",IF(OR(AND(学校マスタ!$H62&lt;&gt;"",学校マスタ!$H62&gt;=W$3,学校マスタ!$H62&lt;W$3+7),AND(学校マスタ!$J62&lt;&gt;"",学校マスタ!$J62&gt;=W$3,学校マスタ!$J62&lt;W$3+7),AND(学校マスタ!$L62&lt;&gt;"",学校マスタ!$L62&gt;=W$3,学校マスタ!$L62&lt;W$3+7)),"◆",IF(AND(学校マスタ!$O62&lt;&gt;"",学校マスタ!$P62&lt;&gt;"",学校マスタ!$O62&lt;W$3+7,学校マスタ!$P62&gt;=W$3),"█",IF(AND(学校マスタ!$R62&lt;&gt;"",学校マスタ!$U62&lt;&gt;"",学校マスタ!$R62&lt;W$3+7,学校マスタ!$U62&gt;=W$3),"▒","")))))</f>
        <v/>
      </c>
      <c r="X64" s="26">
        <f>IF(学校マスタ!$A62="","",IF(AND(学校マスタ!$U62&lt;&gt;"",学校マスタ!$U62&gt;=X$3,学校マスタ!$U62&lt;X$3+7),"◎",IF(OR(AND(学校マスタ!$H62&lt;&gt;"",学校マスタ!$H62&gt;=X$3,学校マスタ!$H62&lt;X$3+7),AND(学校マスタ!$J62&lt;&gt;"",学校マスタ!$J62&gt;=X$3,学校マスタ!$J62&lt;X$3+7),AND(学校マスタ!$L62&lt;&gt;"",学校マスタ!$L62&gt;=X$3,学校マスタ!$L62&lt;X$3+7)),"◆",IF(AND(学校マスタ!$O62&lt;&gt;"",学校マスタ!$P62&lt;&gt;"",学校マスタ!$O62&lt;X$3+7,学校マスタ!$P62&gt;=X$3),"█",IF(AND(学校マスタ!$R62&lt;&gt;"",学校マスタ!$U62&lt;&gt;"",学校マスタ!$R62&lt;X$3+7,学校マスタ!$U62&gt;=X$3),"▒","")))))</f>
        <v/>
      </c>
      <c r="Y64" s="26">
        <f>IF(学校マスタ!$A62="","",IF(AND(学校マスタ!$U62&lt;&gt;"",学校マスタ!$U62&gt;=Y$3,学校マスタ!$U62&lt;Y$3+7),"◎",IF(OR(AND(学校マスタ!$H62&lt;&gt;"",学校マスタ!$H62&gt;=Y$3,学校マスタ!$H62&lt;Y$3+7),AND(学校マスタ!$J62&lt;&gt;"",学校マスタ!$J62&gt;=Y$3,学校マスタ!$J62&lt;Y$3+7),AND(学校マスタ!$L62&lt;&gt;"",学校マスタ!$L62&gt;=Y$3,学校マスタ!$L62&lt;Y$3+7)),"◆",IF(AND(学校マスタ!$O62&lt;&gt;"",学校マスタ!$P62&lt;&gt;"",学校マスタ!$O62&lt;Y$3+7,学校マスタ!$P62&gt;=Y$3),"█",IF(AND(学校マスタ!$R62&lt;&gt;"",学校マスタ!$U62&lt;&gt;"",学校マスタ!$R62&lt;Y$3+7,学校マスタ!$U62&gt;=Y$3),"▒","")))))</f>
        <v/>
      </c>
      <c r="Z64" s="26">
        <f>IF(学校マスタ!$A62="","",IF(AND(学校マスタ!$U62&lt;&gt;"",学校マスタ!$U62&gt;=Z$3,学校マスタ!$U62&lt;Z$3+7),"◎",IF(OR(AND(学校マスタ!$H62&lt;&gt;"",学校マスタ!$H62&gt;=Z$3,学校マスタ!$H62&lt;Z$3+7),AND(学校マスタ!$J62&lt;&gt;"",学校マスタ!$J62&gt;=Z$3,学校マスタ!$J62&lt;Z$3+7),AND(学校マスタ!$L62&lt;&gt;"",学校マスタ!$L62&gt;=Z$3,学校マスタ!$L62&lt;Z$3+7)),"◆",IF(AND(学校マスタ!$O62&lt;&gt;"",学校マスタ!$P62&lt;&gt;"",学校マスタ!$O62&lt;Z$3+7,学校マスタ!$P62&gt;=Z$3),"█",IF(AND(学校マスタ!$R62&lt;&gt;"",学校マスタ!$U62&lt;&gt;"",学校マスタ!$R62&lt;Z$3+7,学校マスタ!$U62&gt;=Z$3),"▒","")))))</f>
        <v/>
      </c>
      <c r="AA64" s="26">
        <f>IF(学校マスタ!$A62="","",IF(AND(学校マスタ!$U62&lt;&gt;"",学校マスタ!$U62&gt;=AA$3,学校マスタ!$U62&lt;AA$3+7),"◎",IF(OR(AND(学校マスタ!$H62&lt;&gt;"",学校マスタ!$H62&gt;=AA$3,学校マスタ!$H62&lt;AA$3+7),AND(学校マスタ!$J62&lt;&gt;"",学校マスタ!$J62&gt;=AA$3,学校マスタ!$J62&lt;AA$3+7),AND(学校マスタ!$L62&lt;&gt;"",学校マスタ!$L62&gt;=AA$3,学校マスタ!$L62&lt;AA$3+7)),"◆",IF(AND(学校マスタ!$O62&lt;&gt;"",学校マスタ!$P62&lt;&gt;"",学校マスタ!$O62&lt;AA$3+7,学校マスタ!$P62&gt;=AA$3),"█",IF(AND(学校マスタ!$R62&lt;&gt;"",学校マスタ!$U62&lt;&gt;"",学校マスタ!$R62&lt;AA$3+7,学校マスタ!$U62&gt;=AA$3),"▒","")))))</f>
        <v/>
      </c>
      <c r="AB64" s="26">
        <f>IF(学校マスタ!$A62="","",IF(AND(学校マスタ!$U62&lt;&gt;"",学校マスタ!$U62&gt;=AB$3,学校マスタ!$U62&lt;AB$3+7),"◎",IF(OR(AND(学校マスタ!$H62&lt;&gt;"",学校マスタ!$H62&gt;=AB$3,学校マスタ!$H62&lt;AB$3+7),AND(学校マスタ!$J62&lt;&gt;"",学校マスタ!$J62&gt;=AB$3,学校マスタ!$J62&lt;AB$3+7),AND(学校マスタ!$L62&lt;&gt;"",学校マスタ!$L62&gt;=AB$3,学校マスタ!$L62&lt;AB$3+7)),"◆",IF(AND(学校マスタ!$O62&lt;&gt;"",学校マスタ!$P62&lt;&gt;"",学校マスタ!$O62&lt;AB$3+7,学校マスタ!$P62&gt;=AB$3),"█",IF(AND(学校マスタ!$R62&lt;&gt;"",学校マスタ!$U62&lt;&gt;"",学校マスタ!$R62&lt;AB$3+7,学校マスタ!$U62&gt;=AB$3),"▒","")))))</f>
        <v/>
      </c>
    </row>
    <row r="65">
      <c r="A65" s="19">
        <f>IF(学校マスタ!$A63="","",学校マスタ!$A63)</f>
        <v/>
      </c>
      <c r="B65" s="19">
        <f>IF(学校マスタ!$A63="","",学校マスタ!$C63)</f>
        <v/>
      </c>
      <c r="C65" s="19">
        <f>IF(学校マスタ!$A63="","",学校マスタ!$X63)</f>
        <v/>
      </c>
      <c r="D65" s="25">
        <f>IF(学校マスタ!$A63="","",学校マスタ!$R63)</f>
        <v/>
      </c>
      <c r="E65" s="26">
        <f>IF(学校マスタ!$A63="","",IF(AND(学校マスタ!$U63&lt;&gt;"",学校マスタ!$U63&gt;=E$3,学校マスタ!$U63&lt;E$3+7),"◎",IF(OR(AND(学校マスタ!$H63&lt;&gt;"",学校マスタ!$H63&gt;=E$3,学校マスタ!$H63&lt;E$3+7),AND(学校マスタ!$J63&lt;&gt;"",学校マスタ!$J63&gt;=E$3,学校マスタ!$J63&lt;E$3+7),AND(学校マスタ!$L63&lt;&gt;"",学校マスタ!$L63&gt;=E$3,学校マスタ!$L63&lt;E$3+7)),"◆",IF(AND(学校マスタ!$O63&lt;&gt;"",学校マスタ!$P63&lt;&gt;"",学校マスタ!$O63&lt;E$3+7,学校マスタ!$P63&gt;=E$3),"█",IF(AND(学校マスタ!$R63&lt;&gt;"",学校マスタ!$U63&lt;&gt;"",学校マスタ!$R63&lt;E$3+7,学校マスタ!$U63&gt;=E$3),"▒","")))))</f>
        <v/>
      </c>
      <c r="F65" s="26">
        <f>IF(学校マスタ!$A63="","",IF(AND(学校マスタ!$U63&lt;&gt;"",学校マスタ!$U63&gt;=F$3,学校マスタ!$U63&lt;F$3+7),"◎",IF(OR(AND(学校マスタ!$H63&lt;&gt;"",学校マスタ!$H63&gt;=F$3,学校マスタ!$H63&lt;F$3+7),AND(学校マスタ!$J63&lt;&gt;"",学校マスタ!$J63&gt;=F$3,学校マスタ!$J63&lt;F$3+7),AND(学校マスタ!$L63&lt;&gt;"",学校マスタ!$L63&gt;=F$3,学校マスタ!$L63&lt;F$3+7)),"◆",IF(AND(学校マスタ!$O63&lt;&gt;"",学校マスタ!$P63&lt;&gt;"",学校マスタ!$O63&lt;F$3+7,学校マスタ!$P63&gt;=F$3),"█",IF(AND(学校マスタ!$R63&lt;&gt;"",学校マスタ!$U63&lt;&gt;"",学校マスタ!$R63&lt;F$3+7,学校マスタ!$U63&gt;=F$3),"▒","")))))</f>
        <v/>
      </c>
      <c r="G65" s="26">
        <f>IF(学校マスタ!$A63="","",IF(AND(学校マスタ!$U63&lt;&gt;"",学校マスタ!$U63&gt;=G$3,学校マスタ!$U63&lt;G$3+7),"◎",IF(OR(AND(学校マスタ!$H63&lt;&gt;"",学校マスタ!$H63&gt;=G$3,学校マスタ!$H63&lt;G$3+7),AND(学校マスタ!$J63&lt;&gt;"",学校マスタ!$J63&gt;=G$3,学校マスタ!$J63&lt;G$3+7),AND(学校マスタ!$L63&lt;&gt;"",学校マスタ!$L63&gt;=G$3,学校マスタ!$L63&lt;G$3+7)),"◆",IF(AND(学校マスタ!$O63&lt;&gt;"",学校マスタ!$P63&lt;&gt;"",学校マスタ!$O63&lt;G$3+7,学校マスタ!$P63&gt;=G$3),"█",IF(AND(学校マスタ!$R63&lt;&gt;"",学校マスタ!$U63&lt;&gt;"",学校マスタ!$R63&lt;G$3+7,学校マスタ!$U63&gt;=G$3),"▒","")))))</f>
        <v/>
      </c>
      <c r="H65" s="26">
        <f>IF(学校マスタ!$A63="","",IF(AND(学校マスタ!$U63&lt;&gt;"",学校マスタ!$U63&gt;=H$3,学校マスタ!$U63&lt;H$3+7),"◎",IF(OR(AND(学校マスタ!$H63&lt;&gt;"",学校マスタ!$H63&gt;=H$3,学校マスタ!$H63&lt;H$3+7),AND(学校マスタ!$J63&lt;&gt;"",学校マスタ!$J63&gt;=H$3,学校マスタ!$J63&lt;H$3+7),AND(学校マスタ!$L63&lt;&gt;"",学校マスタ!$L63&gt;=H$3,学校マスタ!$L63&lt;H$3+7)),"◆",IF(AND(学校マスタ!$O63&lt;&gt;"",学校マスタ!$P63&lt;&gt;"",学校マスタ!$O63&lt;H$3+7,学校マスタ!$P63&gt;=H$3),"█",IF(AND(学校マスタ!$R63&lt;&gt;"",学校マスタ!$U63&lt;&gt;"",学校マスタ!$R63&lt;H$3+7,学校マスタ!$U63&gt;=H$3),"▒","")))))</f>
        <v/>
      </c>
      <c r="I65" s="26">
        <f>IF(学校マスタ!$A63="","",IF(AND(学校マスタ!$U63&lt;&gt;"",学校マスタ!$U63&gt;=I$3,学校マスタ!$U63&lt;I$3+7),"◎",IF(OR(AND(学校マスタ!$H63&lt;&gt;"",学校マスタ!$H63&gt;=I$3,学校マスタ!$H63&lt;I$3+7),AND(学校マスタ!$J63&lt;&gt;"",学校マスタ!$J63&gt;=I$3,学校マスタ!$J63&lt;I$3+7),AND(学校マスタ!$L63&lt;&gt;"",学校マスタ!$L63&gt;=I$3,学校マスタ!$L63&lt;I$3+7)),"◆",IF(AND(学校マスタ!$O63&lt;&gt;"",学校マスタ!$P63&lt;&gt;"",学校マスタ!$O63&lt;I$3+7,学校マスタ!$P63&gt;=I$3),"█",IF(AND(学校マスタ!$R63&lt;&gt;"",学校マスタ!$U63&lt;&gt;"",学校マスタ!$R63&lt;I$3+7,学校マスタ!$U63&gt;=I$3),"▒","")))))</f>
        <v/>
      </c>
      <c r="J65" s="26">
        <f>IF(学校マスタ!$A63="","",IF(AND(学校マスタ!$U63&lt;&gt;"",学校マスタ!$U63&gt;=J$3,学校マスタ!$U63&lt;J$3+7),"◎",IF(OR(AND(学校マスタ!$H63&lt;&gt;"",学校マスタ!$H63&gt;=J$3,学校マスタ!$H63&lt;J$3+7),AND(学校マスタ!$J63&lt;&gt;"",学校マスタ!$J63&gt;=J$3,学校マスタ!$J63&lt;J$3+7),AND(学校マスタ!$L63&lt;&gt;"",学校マスタ!$L63&gt;=J$3,学校マスタ!$L63&lt;J$3+7)),"◆",IF(AND(学校マスタ!$O63&lt;&gt;"",学校マスタ!$P63&lt;&gt;"",学校マスタ!$O63&lt;J$3+7,学校マスタ!$P63&gt;=J$3),"█",IF(AND(学校マスタ!$R63&lt;&gt;"",学校マスタ!$U63&lt;&gt;"",学校マスタ!$R63&lt;J$3+7,学校マスタ!$U63&gt;=J$3),"▒","")))))</f>
        <v/>
      </c>
      <c r="K65" s="26">
        <f>IF(学校マスタ!$A63="","",IF(AND(学校マスタ!$U63&lt;&gt;"",学校マスタ!$U63&gt;=K$3,学校マスタ!$U63&lt;K$3+7),"◎",IF(OR(AND(学校マスタ!$H63&lt;&gt;"",学校マスタ!$H63&gt;=K$3,学校マスタ!$H63&lt;K$3+7),AND(学校マスタ!$J63&lt;&gt;"",学校マスタ!$J63&gt;=K$3,学校マスタ!$J63&lt;K$3+7),AND(学校マスタ!$L63&lt;&gt;"",学校マスタ!$L63&gt;=K$3,学校マスタ!$L63&lt;K$3+7)),"◆",IF(AND(学校マスタ!$O63&lt;&gt;"",学校マスタ!$P63&lt;&gt;"",学校マスタ!$O63&lt;K$3+7,学校マスタ!$P63&gt;=K$3),"█",IF(AND(学校マスタ!$R63&lt;&gt;"",学校マスタ!$U63&lt;&gt;"",学校マスタ!$R63&lt;K$3+7,学校マスタ!$U63&gt;=K$3),"▒","")))))</f>
        <v/>
      </c>
      <c r="L65" s="26">
        <f>IF(学校マスタ!$A63="","",IF(AND(学校マスタ!$U63&lt;&gt;"",学校マスタ!$U63&gt;=L$3,学校マスタ!$U63&lt;L$3+7),"◎",IF(OR(AND(学校マスタ!$H63&lt;&gt;"",学校マスタ!$H63&gt;=L$3,学校マスタ!$H63&lt;L$3+7),AND(学校マスタ!$J63&lt;&gt;"",学校マスタ!$J63&gt;=L$3,学校マスタ!$J63&lt;L$3+7),AND(学校マスタ!$L63&lt;&gt;"",学校マスタ!$L63&gt;=L$3,学校マスタ!$L63&lt;L$3+7)),"◆",IF(AND(学校マスタ!$O63&lt;&gt;"",学校マスタ!$P63&lt;&gt;"",学校マスタ!$O63&lt;L$3+7,学校マスタ!$P63&gt;=L$3),"█",IF(AND(学校マスタ!$R63&lt;&gt;"",学校マスタ!$U63&lt;&gt;"",学校マスタ!$R63&lt;L$3+7,学校マスタ!$U63&gt;=L$3),"▒","")))))</f>
        <v/>
      </c>
      <c r="M65" s="26">
        <f>IF(学校マスタ!$A63="","",IF(AND(学校マスタ!$U63&lt;&gt;"",学校マスタ!$U63&gt;=M$3,学校マスタ!$U63&lt;M$3+7),"◎",IF(OR(AND(学校マスタ!$H63&lt;&gt;"",学校マスタ!$H63&gt;=M$3,学校マスタ!$H63&lt;M$3+7),AND(学校マスタ!$J63&lt;&gt;"",学校マスタ!$J63&gt;=M$3,学校マスタ!$J63&lt;M$3+7),AND(学校マスタ!$L63&lt;&gt;"",学校マスタ!$L63&gt;=M$3,学校マスタ!$L63&lt;M$3+7)),"◆",IF(AND(学校マスタ!$O63&lt;&gt;"",学校マスタ!$P63&lt;&gt;"",学校マスタ!$O63&lt;M$3+7,学校マスタ!$P63&gt;=M$3),"█",IF(AND(学校マスタ!$R63&lt;&gt;"",学校マスタ!$U63&lt;&gt;"",学校マスタ!$R63&lt;M$3+7,学校マスタ!$U63&gt;=M$3),"▒","")))))</f>
        <v/>
      </c>
      <c r="N65" s="26">
        <f>IF(学校マスタ!$A63="","",IF(AND(学校マスタ!$U63&lt;&gt;"",学校マスタ!$U63&gt;=N$3,学校マスタ!$U63&lt;N$3+7),"◎",IF(OR(AND(学校マスタ!$H63&lt;&gt;"",学校マスタ!$H63&gt;=N$3,学校マスタ!$H63&lt;N$3+7),AND(学校マスタ!$J63&lt;&gt;"",学校マスタ!$J63&gt;=N$3,学校マスタ!$J63&lt;N$3+7),AND(学校マスタ!$L63&lt;&gt;"",学校マスタ!$L63&gt;=N$3,学校マスタ!$L63&lt;N$3+7)),"◆",IF(AND(学校マスタ!$O63&lt;&gt;"",学校マスタ!$P63&lt;&gt;"",学校マスタ!$O63&lt;N$3+7,学校マスタ!$P63&gt;=N$3),"█",IF(AND(学校マスタ!$R63&lt;&gt;"",学校マスタ!$U63&lt;&gt;"",学校マスタ!$R63&lt;N$3+7,学校マスタ!$U63&gt;=N$3),"▒","")))))</f>
        <v/>
      </c>
      <c r="O65" s="26">
        <f>IF(学校マスタ!$A63="","",IF(AND(学校マスタ!$U63&lt;&gt;"",学校マスタ!$U63&gt;=O$3,学校マスタ!$U63&lt;O$3+7),"◎",IF(OR(AND(学校マスタ!$H63&lt;&gt;"",学校マスタ!$H63&gt;=O$3,学校マスタ!$H63&lt;O$3+7),AND(学校マスタ!$J63&lt;&gt;"",学校マスタ!$J63&gt;=O$3,学校マスタ!$J63&lt;O$3+7),AND(学校マスタ!$L63&lt;&gt;"",学校マスタ!$L63&gt;=O$3,学校マスタ!$L63&lt;O$3+7)),"◆",IF(AND(学校マスタ!$O63&lt;&gt;"",学校マスタ!$P63&lt;&gt;"",学校マスタ!$O63&lt;O$3+7,学校マスタ!$P63&gt;=O$3),"█",IF(AND(学校マスタ!$R63&lt;&gt;"",学校マスタ!$U63&lt;&gt;"",学校マスタ!$R63&lt;O$3+7,学校マスタ!$U63&gt;=O$3),"▒","")))))</f>
        <v/>
      </c>
      <c r="P65" s="26">
        <f>IF(学校マスタ!$A63="","",IF(AND(学校マスタ!$U63&lt;&gt;"",学校マスタ!$U63&gt;=P$3,学校マスタ!$U63&lt;P$3+7),"◎",IF(OR(AND(学校マスタ!$H63&lt;&gt;"",学校マスタ!$H63&gt;=P$3,学校マスタ!$H63&lt;P$3+7),AND(学校マスタ!$J63&lt;&gt;"",学校マスタ!$J63&gt;=P$3,学校マスタ!$J63&lt;P$3+7),AND(学校マスタ!$L63&lt;&gt;"",学校マスタ!$L63&gt;=P$3,学校マスタ!$L63&lt;P$3+7)),"◆",IF(AND(学校マスタ!$O63&lt;&gt;"",学校マスタ!$P63&lt;&gt;"",学校マスタ!$O63&lt;P$3+7,学校マスタ!$P63&gt;=P$3),"█",IF(AND(学校マスタ!$R63&lt;&gt;"",学校マスタ!$U63&lt;&gt;"",学校マスタ!$R63&lt;P$3+7,学校マスタ!$U63&gt;=P$3),"▒","")))))</f>
        <v/>
      </c>
      <c r="Q65" s="26">
        <f>IF(学校マスタ!$A63="","",IF(AND(学校マスタ!$U63&lt;&gt;"",学校マスタ!$U63&gt;=Q$3,学校マスタ!$U63&lt;Q$3+7),"◎",IF(OR(AND(学校マスタ!$H63&lt;&gt;"",学校マスタ!$H63&gt;=Q$3,学校マスタ!$H63&lt;Q$3+7),AND(学校マスタ!$J63&lt;&gt;"",学校マスタ!$J63&gt;=Q$3,学校マスタ!$J63&lt;Q$3+7),AND(学校マスタ!$L63&lt;&gt;"",学校マスタ!$L63&gt;=Q$3,学校マスタ!$L63&lt;Q$3+7)),"◆",IF(AND(学校マスタ!$O63&lt;&gt;"",学校マスタ!$P63&lt;&gt;"",学校マスタ!$O63&lt;Q$3+7,学校マスタ!$P63&gt;=Q$3),"█",IF(AND(学校マスタ!$R63&lt;&gt;"",学校マスタ!$U63&lt;&gt;"",学校マスタ!$R63&lt;Q$3+7,学校マスタ!$U63&gt;=Q$3),"▒","")))))</f>
        <v/>
      </c>
      <c r="R65" s="26">
        <f>IF(学校マスタ!$A63="","",IF(AND(学校マスタ!$U63&lt;&gt;"",学校マスタ!$U63&gt;=R$3,学校マスタ!$U63&lt;R$3+7),"◎",IF(OR(AND(学校マスタ!$H63&lt;&gt;"",学校マスタ!$H63&gt;=R$3,学校マスタ!$H63&lt;R$3+7),AND(学校マスタ!$J63&lt;&gt;"",学校マスタ!$J63&gt;=R$3,学校マスタ!$J63&lt;R$3+7),AND(学校マスタ!$L63&lt;&gt;"",学校マスタ!$L63&gt;=R$3,学校マスタ!$L63&lt;R$3+7)),"◆",IF(AND(学校マスタ!$O63&lt;&gt;"",学校マスタ!$P63&lt;&gt;"",学校マスタ!$O63&lt;R$3+7,学校マスタ!$P63&gt;=R$3),"█",IF(AND(学校マスタ!$R63&lt;&gt;"",学校マスタ!$U63&lt;&gt;"",学校マスタ!$R63&lt;R$3+7,学校マスタ!$U63&gt;=R$3),"▒","")))))</f>
        <v/>
      </c>
      <c r="S65" s="26">
        <f>IF(学校マスタ!$A63="","",IF(AND(学校マスタ!$U63&lt;&gt;"",学校マスタ!$U63&gt;=S$3,学校マスタ!$U63&lt;S$3+7),"◎",IF(OR(AND(学校マスタ!$H63&lt;&gt;"",学校マスタ!$H63&gt;=S$3,学校マスタ!$H63&lt;S$3+7),AND(学校マスタ!$J63&lt;&gt;"",学校マスタ!$J63&gt;=S$3,学校マスタ!$J63&lt;S$3+7),AND(学校マスタ!$L63&lt;&gt;"",学校マスタ!$L63&gt;=S$3,学校マスタ!$L63&lt;S$3+7)),"◆",IF(AND(学校マスタ!$O63&lt;&gt;"",学校マスタ!$P63&lt;&gt;"",学校マスタ!$O63&lt;S$3+7,学校マスタ!$P63&gt;=S$3),"█",IF(AND(学校マスタ!$R63&lt;&gt;"",学校マスタ!$U63&lt;&gt;"",学校マスタ!$R63&lt;S$3+7,学校マスタ!$U63&gt;=S$3),"▒","")))))</f>
        <v/>
      </c>
      <c r="T65" s="26">
        <f>IF(学校マスタ!$A63="","",IF(AND(学校マスタ!$U63&lt;&gt;"",学校マスタ!$U63&gt;=T$3,学校マスタ!$U63&lt;T$3+7),"◎",IF(OR(AND(学校マスタ!$H63&lt;&gt;"",学校マスタ!$H63&gt;=T$3,学校マスタ!$H63&lt;T$3+7),AND(学校マスタ!$J63&lt;&gt;"",学校マスタ!$J63&gt;=T$3,学校マスタ!$J63&lt;T$3+7),AND(学校マスタ!$L63&lt;&gt;"",学校マスタ!$L63&gt;=T$3,学校マスタ!$L63&lt;T$3+7)),"◆",IF(AND(学校マスタ!$O63&lt;&gt;"",学校マスタ!$P63&lt;&gt;"",学校マスタ!$O63&lt;T$3+7,学校マスタ!$P63&gt;=T$3),"█",IF(AND(学校マスタ!$R63&lt;&gt;"",学校マスタ!$U63&lt;&gt;"",学校マスタ!$R63&lt;T$3+7,学校マスタ!$U63&gt;=T$3),"▒","")))))</f>
        <v/>
      </c>
      <c r="U65" s="26">
        <f>IF(学校マスタ!$A63="","",IF(AND(学校マスタ!$U63&lt;&gt;"",学校マスタ!$U63&gt;=U$3,学校マスタ!$U63&lt;U$3+7),"◎",IF(OR(AND(学校マスタ!$H63&lt;&gt;"",学校マスタ!$H63&gt;=U$3,学校マスタ!$H63&lt;U$3+7),AND(学校マスタ!$J63&lt;&gt;"",学校マスタ!$J63&gt;=U$3,学校マスタ!$J63&lt;U$3+7),AND(学校マスタ!$L63&lt;&gt;"",学校マスタ!$L63&gt;=U$3,学校マスタ!$L63&lt;U$3+7)),"◆",IF(AND(学校マスタ!$O63&lt;&gt;"",学校マスタ!$P63&lt;&gt;"",学校マスタ!$O63&lt;U$3+7,学校マスタ!$P63&gt;=U$3),"█",IF(AND(学校マスタ!$R63&lt;&gt;"",学校マスタ!$U63&lt;&gt;"",学校マスタ!$R63&lt;U$3+7,学校マスタ!$U63&gt;=U$3),"▒","")))))</f>
        <v/>
      </c>
      <c r="V65" s="26">
        <f>IF(学校マスタ!$A63="","",IF(AND(学校マスタ!$U63&lt;&gt;"",学校マスタ!$U63&gt;=V$3,学校マスタ!$U63&lt;V$3+7),"◎",IF(OR(AND(学校マスタ!$H63&lt;&gt;"",学校マスタ!$H63&gt;=V$3,学校マスタ!$H63&lt;V$3+7),AND(学校マスタ!$J63&lt;&gt;"",学校マスタ!$J63&gt;=V$3,学校マスタ!$J63&lt;V$3+7),AND(学校マスタ!$L63&lt;&gt;"",学校マスタ!$L63&gt;=V$3,学校マスタ!$L63&lt;V$3+7)),"◆",IF(AND(学校マスタ!$O63&lt;&gt;"",学校マスタ!$P63&lt;&gt;"",学校マスタ!$O63&lt;V$3+7,学校マスタ!$P63&gt;=V$3),"█",IF(AND(学校マスタ!$R63&lt;&gt;"",学校マスタ!$U63&lt;&gt;"",学校マスタ!$R63&lt;V$3+7,学校マスタ!$U63&gt;=V$3),"▒","")))))</f>
        <v/>
      </c>
      <c r="W65" s="26">
        <f>IF(学校マスタ!$A63="","",IF(AND(学校マスタ!$U63&lt;&gt;"",学校マスタ!$U63&gt;=W$3,学校マスタ!$U63&lt;W$3+7),"◎",IF(OR(AND(学校マスタ!$H63&lt;&gt;"",学校マスタ!$H63&gt;=W$3,学校マスタ!$H63&lt;W$3+7),AND(学校マスタ!$J63&lt;&gt;"",学校マスタ!$J63&gt;=W$3,学校マスタ!$J63&lt;W$3+7),AND(学校マスタ!$L63&lt;&gt;"",学校マスタ!$L63&gt;=W$3,学校マスタ!$L63&lt;W$3+7)),"◆",IF(AND(学校マスタ!$O63&lt;&gt;"",学校マスタ!$P63&lt;&gt;"",学校マスタ!$O63&lt;W$3+7,学校マスタ!$P63&gt;=W$3),"█",IF(AND(学校マスタ!$R63&lt;&gt;"",学校マスタ!$U63&lt;&gt;"",学校マスタ!$R63&lt;W$3+7,学校マスタ!$U63&gt;=W$3),"▒","")))))</f>
        <v/>
      </c>
      <c r="X65" s="26">
        <f>IF(学校マスタ!$A63="","",IF(AND(学校マスタ!$U63&lt;&gt;"",学校マスタ!$U63&gt;=X$3,学校マスタ!$U63&lt;X$3+7),"◎",IF(OR(AND(学校マスタ!$H63&lt;&gt;"",学校マスタ!$H63&gt;=X$3,学校マスタ!$H63&lt;X$3+7),AND(学校マスタ!$J63&lt;&gt;"",学校マスタ!$J63&gt;=X$3,学校マスタ!$J63&lt;X$3+7),AND(学校マスタ!$L63&lt;&gt;"",学校マスタ!$L63&gt;=X$3,学校マスタ!$L63&lt;X$3+7)),"◆",IF(AND(学校マスタ!$O63&lt;&gt;"",学校マスタ!$P63&lt;&gt;"",学校マスタ!$O63&lt;X$3+7,学校マスタ!$P63&gt;=X$3),"█",IF(AND(学校マスタ!$R63&lt;&gt;"",学校マスタ!$U63&lt;&gt;"",学校マスタ!$R63&lt;X$3+7,学校マスタ!$U63&gt;=X$3),"▒","")))))</f>
        <v/>
      </c>
      <c r="Y65" s="26">
        <f>IF(学校マスタ!$A63="","",IF(AND(学校マスタ!$U63&lt;&gt;"",学校マスタ!$U63&gt;=Y$3,学校マスタ!$U63&lt;Y$3+7),"◎",IF(OR(AND(学校マスタ!$H63&lt;&gt;"",学校マスタ!$H63&gt;=Y$3,学校マスタ!$H63&lt;Y$3+7),AND(学校マスタ!$J63&lt;&gt;"",学校マスタ!$J63&gt;=Y$3,学校マスタ!$J63&lt;Y$3+7),AND(学校マスタ!$L63&lt;&gt;"",学校マスタ!$L63&gt;=Y$3,学校マスタ!$L63&lt;Y$3+7)),"◆",IF(AND(学校マスタ!$O63&lt;&gt;"",学校マスタ!$P63&lt;&gt;"",学校マスタ!$O63&lt;Y$3+7,学校マスタ!$P63&gt;=Y$3),"█",IF(AND(学校マスタ!$R63&lt;&gt;"",学校マスタ!$U63&lt;&gt;"",学校マスタ!$R63&lt;Y$3+7,学校マスタ!$U63&gt;=Y$3),"▒","")))))</f>
        <v/>
      </c>
      <c r="Z65" s="26">
        <f>IF(学校マスタ!$A63="","",IF(AND(学校マスタ!$U63&lt;&gt;"",学校マスタ!$U63&gt;=Z$3,学校マスタ!$U63&lt;Z$3+7),"◎",IF(OR(AND(学校マスタ!$H63&lt;&gt;"",学校マスタ!$H63&gt;=Z$3,学校マスタ!$H63&lt;Z$3+7),AND(学校マスタ!$J63&lt;&gt;"",学校マスタ!$J63&gt;=Z$3,学校マスタ!$J63&lt;Z$3+7),AND(学校マスタ!$L63&lt;&gt;"",学校マスタ!$L63&gt;=Z$3,学校マスタ!$L63&lt;Z$3+7)),"◆",IF(AND(学校マスタ!$O63&lt;&gt;"",学校マスタ!$P63&lt;&gt;"",学校マスタ!$O63&lt;Z$3+7,学校マスタ!$P63&gt;=Z$3),"█",IF(AND(学校マスタ!$R63&lt;&gt;"",学校マスタ!$U63&lt;&gt;"",学校マスタ!$R63&lt;Z$3+7,学校マスタ!$U63&gt;=Z$3),"▒","")))))</f>
        <v/>
      </c>
      <c r="AA65" s="26">
        <f>IF(学校マスタ!$A63="","",IF(AND(学校マスタ!$U63&lt;&gt;"",学校マスタ!$U63&gt;=AA$3,学校マスタ!$U63&lt;AA$3+7),"◎",IF(OR(AND(学校マスタ!$H63&lt;&gt;"",学校マスタ!$H63&gt;=AA$3,学校マスタ!$H63&lt;AA$3+7),AND(学校マスタ!$J63&lt;&gt;"",学校マスタ!$J63&gt;=AA$3,学校マスタ!$J63&lt;AA$3+7),AND(学校マスタ!$L63&lt;&gt;"",学校マスタ!$L63&gt;=AA$3,学校マスタ!$L63&lt;AA$3+7)),"◆",IF(AND(学校マスタ!$O63&lt;&gt;"",学校マスタ!$P63&lt;&gt;"",学校マスタ!$O63&lt;AA$3+7,学校マスタ!$P63&gt;=AA$3),"█",IF(AND(学校マスタ!$R63&lt;&gt;"",学校マスタ!$U63&lt;&gt;"",学校マスタ!$R63&lt;AA$3+7,学校マスタ!$U63&gt;=AA$3),"▒","")))))</f>
        <v/>
      </c>
      <c r="AB65" s="26">
        <f>IF(学校マスタ!$A63="","",IF(AND(学校マスタ!$U63&lt;&gt;"",学校マスタ!$U63&gt;=AB$3,学校マスタ!$U63&lt;AB$3+7),"◎",IF(OR(AND(学校マスタ!$H63&lt;&gt;"",学校マスタ!$H63&gt;=AB$3,学校マスタ!$H63&lt;AB$3+7),AND(学校マスタ!$J63&lt;&gt;"",学校マスタ!$J63&gt;=AB$3,学校マスタ!$J63&lt;AB$3+7),AND(学校マスタ!$L63&lt;&gt;"",学校マスタ!$L63&gt;=AB$3,学校マスタ!$L63&lt;AB$3+7)),"◆",IF(AND(学校マスタ!$O63&lt;&gt;"",学校マスタ!$P63&lt;&gt;"",学校マスタ!$O63&lt;AB$3+7,学校マスタ!$P63&gt;=AB$3),"█",IF(AND(学校マスタ!$R63&lt;&gt;"",学校マスタ!$U63&lt;&gt;"",学校マスタ!$R63&lt;AB$3+7,学校マスタ!$U63&gt;=AB$3),"▒","")))))</f>
        <v/>
      </c>
    </row>
    <row r="66">
      <c r="A66" s="19">
        <f>IF(学校マスタ!$A64="","",学校マスタ!$A64)</f>
        <v/>
      </c>
      <c r="B66" s="19">
        <f>IF(学校マスタ!$A64="","",学校マスタ!$C64)</f>
        <v/>
      </c>
      <c r="C66" s="19">
        <f>IF(学校マスタ!$A64="","",学校マスタ!$X64)</f>
        <v/>
      </c>
      <c r="D66" s="25">
        <f>IF(学校マスタ!$A64="","",学校マスタ!$R64)</f>
        <v/>
      </c>
      <c r="E66" s="26">
        <f>IF(学校マスタ!$A64="","",IF(AND(学校マスタ!$U64&lt;&gt;"",学校マスタ!$U64&gt;=E$3,学校マスタ!$U64&lt;E$3+7),"◎",IF(OR(AND(学校マスタ!$H64&lt;&gt;"",学校マスタ!$H64&gt;=E$3,学校マスタ!$H64&lt;E$3+7),AND(学校マスタ!$J64&lt;&gt;"",学校マスタ!$J64&gt;=E$3,学校マスタ!$J64&lt;E$3+7),AND(学校マスタ!$L64&lt;&gt;"",学校マスタ!$L64&gt;=E$3,学校マスタ!$L64&lt;E$3+7)),"◆",IF(AND(学校マスタ!$O64&lt;&gt;"",学校マスタ!$P64&lt;&gt;"",学校マスタ!$O64&lt;E$3+7,学校マスタ!$P64&gt;=E$3),"█",IF(AND(学校マスタ!$R64&lt;&gt;"",学校マスタ!$U64&lt;&gt;"",学校マスタ!$R64&lt;E$3+7,学校マスタ!$U64&gt;=E$3),"▒","")))))</f>
        <v/>
      </c>
      <c r="F66" s="26">
        <f>IF(学校マスタ!$A64="","",IF(AND(学校マスタ!$U64&lt;&gt;"",学校マスタ!$U64&gt;=F$3,学校マスタ!$U64&lt;F$3+7),"◎",IF(OR(AND(学校マスタ!$H64&lt;&gt;"",学校マスタ!$H64&gt;=F$3,学校マスタ!$H64&lt;F$3+7),AND(学校マスタ!$J64&lt;&gt;"",学校マスタ!$J64&gt;=F$3,学校マスタ!$J64&lt;F$3+7),AND(学校マスタ!$L64&lt;&gt;"",学校マスタ!$L64&gt;=F$3,学校マスタ!$L64&lt;F$3+7)),"◆",IF(AND(学校マスタ!$O64&lt;&gt;"",学校マスタ!$P64&lt;&gt;"",学校マスタ!$O64&lt;F$3+7,学校マスタ!$P64&gt;=F$3),"█",IF(AND(学校マスタ!$R64&lt;&gt;"",学校マスタ!$U64&lt;&gt;"",学校マスタ!$R64&lt;F$3+7,学校マスタ!$U64&gt;=F$3),"▒","")))))</f>
        <v/>
      </c>
      <c r="G66" s="26">
        <f>IF(学校マスタ!$A64="","",IF(AND(学校マスタ!$U64&lt;&gt;"",学校マスタ!$U64&gt;=G$3,学校マスタ!$U64&lt;G$3+7),"◎",IF(OR(AND(学校マスタ!$H64&lt;&gt;"",学校マスタ!$H64&gt;=G$3,学校マスタ!$H64&lt;G$3+7),AND(学校マスタ!$J64&lt;&gt;"",学校マスタ!$J64&gt;=G$3,学校マスタ!$J64&lt;G$3+7),AND(学校マスタ!$L64&lt;&gt;"",学校マスタ!$L64&gt;=G$3,学校マスタ!$L64&lt;G$3+7)),"◆",IF(AND(学校マスタ!$O64&lt;&gt;"",学校マスタ!$P64&lt;&gt;"",学校マスタ!$O64&lt;G$3+7,学校マスタ!$P64&gt;=G$3),"█",IF(AND(学校マスタ!$R64&lt;&gt;"",学校マスタ!$U64&lt;&gt;"",学校マスタ!$R64&lt;G$3+7,学校マスタ!$U64&gt;=G$3),"▒","")))))</f>
        <v/>
      </c>
      <c r="H66" s="26">
        <f>IF(学校マスタ!$A64="","",IF(AND(学校マスタ!$U64&lt;&gt;"",学校マスタ!$U64&gt;=H$3,学校マスタ!$U64&lt;H$3+7),"◎",IF(OR(AND(学校マスタ!$H64&lt;&gt;"",学校マスタ!$H64&gt;=H$3,学校マスタ!$H64&lt;H$3+7),AND(学校マスタ!$J64&lt;&gt;"",学校マスタ!$J64&gt;=H$3,学校マスタ!$J64&lt;H$3+7),AND(学校マスタ!$L64&lt;&gt;"",学校マスタ!$L64&gt;=H$3,学校マスタ!$L64&lt;H$3+7)),"◆",IF(AND(学校マスタ!$O64&lt;&gt;"",学校マスタ!$P64&lt;&gt;"",学校マスタ!$O64&lt;H$3+7,学校マスタ!$P64&gt;=H$3),"█",IF(AND(学校マスタ!$R64&lt;&gt;"",学校マスタ!$U64&lt;&gt;"",学校マスタ!$R64&lt;H$3+7,学校マスタ!$U64&gt;=H$3),"▒","")))))</f>
        <v/>
      </c>
      <c r="I66" s="26">
        <f>IF(学校マスタ!$A64="","",IF(AND(学校マスタ!$U64&lt;&gt;"",学校マスタ!$U64&gt;=I$3,学校マスタ!$U64&lt;I$3+7),"◎",IF(OR(AND(学校マスタ!$H64&lt;&gt;"",学校マスタ!$H64&gt;=I$3,学校マスタ!$H64&lt;I$3+7),AND(学校マスタ!$J64&lt;&gt;"",学校マスタ!$J64&gt;=I$3,学校マスタ!$J64&lt;I$3+7),AND(学校マスタ!$L64&lt;&gt;"",学校マスタ!$L64&gt;=I$3,学校マスタ!$L64&lt;I$3+7)),"◆",IF(AND(学校マスタ!$O64&lt;&gt;"",学校マスタ!$P64&lt;&gt;"",学校マスタ!$O64&lt;I$3+7,学校マスタ!$P64&gt;=I$3),"█",IF(AND(学校マスタ!$R64&lt;&gt;"",学校マスタ!$U64&lt;&gt;"",学校マスタ!$R64&lt;I$3+7,学校マスタ!$U64&gt;=I$3),"▒","")))))</f>
        <v/>
      </c>
      <c r="J66" s="26">
        <f>IF(学校マスタ!$A64="","",IF(AND(学校マスタ!$U64&lt;&gt;"",学校マスタ!$U64&gt;=J$3,学校マスタ!$U64&lt;J$3+7),"◎",IF(OR(AND(学校マスタ!$H64&lt;&gt;"",学校マスタ!$H64&gt;=J$3,学校マスタ!$H64&lt;J$3+7),AND(学校マスタ!$J64&lt;&gt;"",学校マスタ!$J64&gt;=J$3,学校マスタ!$J64&lt;J$3+7),AND(学校マスタ!$L64&lt;&gt;"",学校マスタ!$L64&gt;=J$3,学校マスタ!$L64&lt;J$3+7)),"◆",IF(AND(学校マスタ!$O64&lt;&gt;"",学校マスタ!$P64&lt;&gt;"",学校マスタ!$O64&lt;J$3+7,学校マスタ!$P64&gt;=J$3),"█",IF(AND(学校マスタ!$R64&lt;&gt;"",学校マスタ!$U64&lt;&gt;"",学校マスタ!$R64&lt;J$3+7,学校マスタ!$U64&gt;=J$3),"▒","")))))</f>
        <v/>
      </c>
      <c r="K66" s="26">
        <f>IF(学校マスタ!$A64="","",IF(AND(学校マスタ!$U64&lt;&gt;"",学校マスタ!$U64&gt;=K$3,学校マスタ!$U64&lt;K$3+7),"◎",IF(OR(AND(学校マスタ!$H64&lt;&gt;"",学校マスタ!$H64&gt;=K$3,学校マスタ!$H64&lt;K$3+7),AND(学校マスタ!$J64&lt;&gt;"",学校マスタ!$J64&gt;=K$3,学校マスタ!$J64&lt;K$3+7),AND(学校マスタ!$L64&lt;&gt;"",学校マスタ!$L64&gt;=K$3,学校マスタ!$L64&lt;K$3+7)),"◆",IF(AND(学校マスタ!$O64&lt;&gt;"",学校マスタ!$P64&lt;&gt;"",学校マスタ!$O64&lt;K$3+7,学校マスタ!$P64&gt;=K$3),"█",IF(AND(学校マスタ!$R64&lt;&gt;"",学校マスタ!$U64&lt;&gt;"",学校マスタ!$R64&lt;K$3+7,学校マスタ!$U64&gt;=K$3),"▒","")))))</f>
        <v/>
      </c>
      <c r="L66" s="26">
        <f>IF(学校マスタ!$A64="","",IF(AND(学校マスタ!$U64&lt;&gt;"",学校マスタ!$U64&gt;=L$3,学校マスタ!$U64&lt;L$3+7),"◎",IF(OR(AND(学校マスタ!$H64&lt;&gt;"",学校マスタ!$H64&gt;=L$3,学校マスタ!$H64&lt;L$3+7),AND(学校マスタ!$J64&lt;&gt;"",学校マスタ!$J64&gt;=L$3,学校マスタ!$J64&lt;L$3+7),AND(学校マスタ!$L64&lt;&gt;"",学校マスタ!$L64&gt;=L$3,学校マスタ!$L64&lt;L$3+7)),"◆",IF(AND(学校マスタ!$O64&lt;&gt;"",学校マスタ!$P64&lt;&gt;"",学校マスタ!$O64&lt;L$3+7,学校マスタ!$P64&gt;=L$3),"█",IF(AND(学校マスタ!$R64&lt;&gt;"",学校マスタ!$U64&lt;&gt;"",学校マスタ!$R64&lt;L$3+7,学校マスタ!$U64&gt;=L$3),"▒","")))))</f>
        <v/>
      </c>
      <c r="M66" s="26">
        <f>IF(学校マスタ!$A64="","",IF(AND(学校マスタ!$U64&lt;&gt;"",学校マスタ!$U64&gt;=M$3,学校マスタ!$U64&lt;M$3+7),"◎",IF(OR(AND(学校マスタ!$H64&lt;&gt;"",学校マスタ!$H64&gt;=M$3,学校マスタ!$H64&lt;M$3+7),AND(学校マスタ!$J64&lt;&gt;"",学校マスタ!$J64&gt;=M$3,学校マスタ!$J64&lt;M$3+7),AND(学校マスタ!$L64&lt;&gt;"",学校マスタ!$L64&gt;=M$3,学校マスタ!$L64&lt;M$3+7)),"◆",IF(AND(学校マスタ!$O64&lt;&gt;"",学校マスタ!$P64&lt;&gt;"",学校マスタ!$O64&lt;M$3+7,学校マスタ!$P64&gt;=M$3),"█",IF(AND(学校マスタ!$R64&lt;&gt;"",学校マスタ!$U64&lt;&gt;"",学校マスタ!$R64&lt;M$3+7,学校マスタ!$U64&gt;=M$3),"▒","")))))</f>
        <v/>
      </c>
      <c r="N66" s="26">
        <f>IF(学校マスタ!$A64="","",IF(AND(学校マスタ!$U64&lt;&gt;"",学校マスタ!$U64&gt;=N$3,学校マスタ!$U64&lt;N$3+7),"◎",IF(OR(AND(学校マスタ!$H64&lt;&gt;"",学校マスタ!$H64&gt;=N$3,学校マスタ!$H64&lt;N$3+7),AND(学校マスタ!$J64&lt;&gt;"",学校マスタ!$J64&gt;=N$3,学校マスタ!$J64&lt;N$3+7),AND(学校マスタ!$L64&lt;&gt;"",学校マスタ!$L64&gt;=N$3,学校マスタ!$L64&lt;N$3+7)),"◆",IF(AND(学校マスタ!$O64&lt;&gt;"",学校マスタ!$P64&lt;&gt;"",学校マスタ!$O64&lt;N$3+7,学校マスタ!$P64&gt;=N$3),"█",IF(AND(学校マスタ!$R64&lt;&gt;"",学校マスタ!$U64&lt;&gt;"",学校マスタ!$R64&lt;N$3+7,学校マスタ!$U64&gt;=N$3),"▒","")))))</f>
        <v/>
      </c>
      <c r="O66" s="26">
        <f>IF(学校マスタ!$A64="","",IF(AND(学校マスタ!$U64&lt;&gt;"",学校マスタ!$U64&gt;=O$3,学校マスタ!$U64&lt;O$3+7),"◎",IF(OR(AND(学校マスタ!$H64&lt;&gt;"",学校マスタ!$H64&gt;=O$3,学校マスタ!$H64&lt;O$3+7),AND(学校マスタ!$J64&lt;&gt;"",学校マスタ!$J64&gt;=O$3,学校マスタ!$J64&lt;O$3+7),AND(学校マスタ!$L64&lt;&gt;"",学校マスタ!$L64&gt;=O$3,学校マスタ!$L64&lt;O$3+7)),"◆",IF(AND(学校マスタ!$O64&lt;&gt;"",学校マスタ!$P64&lt;&gt;"",学校マスタ!$O64&lt;O$3+7,学校マスタ!$P64&gt;=O$3),"█",IF(AND(学校マスタ!$R64&lt;&gt;"",学校マスタ!$U64&lt;&gt;"",学校マスタ!$R64&lt;O$3+7,学校マスタ!$U64&gt;=O$3),"▒","")))))</f>
        <v/>
      </c>
      <c r="P66" s="26">
        <f>IF(学校マスタ!$A64="","",IF(AND(学校マスタ!$U64&lt;&gt;"",学校マスタ!$U64&gt;=P$3,学校マスタ!$U64&lt;P$3+7),"◎",IF(OR(AND(学校マスタ!$H64&lt;&gt;"",学校マスタ!$H64&gt;=P$3,学校マスタ!$H64&lt;P$3+7),AND(学校マスタ!$J64&lt;&gt;"",学校マスタ!$J64&gt;=P$3,学校マスタ!$J64&lt;P$3+7),AND(学校マスタ!$L64&lt;&gt;"",学校マスタ!$L64&gt;=P$3,学校マスタ!$L64&lt;P$3+7)),"◆",IF(AND(学校マスタ!$O64&lt;&gt;"",学校マスタ!$P64&lt;&gt;"",学校マスタ!$O64&lt;P$3+7,学校マスタ!$P64&gt;=P$3),"█",IF(AND(学校マスタ!$R64&lt;&gt;"",学校マスタ!$U64&lt;&gt;"",学校マスタ!$R64&lt;P$3+7,学校マスタ!$U64&gt;=P$3),"▒","")))))</f>
        <v/>
      </c>
      <c r="Q66" s="26">
        <f>IF(学校マスタ!$A64="","",IF(AND(学校マスタ!$U64&lt;&gt;"",学校マスタ!$U64&gt;=Q$3,学校マスタ!$U64&lt;Q$3+7),"◎",IF(OR(AND(学校マスタ!$H64&lt;&gt;"",学校マスタ!$H64&gt;=Q$3,学校マスタ!$H64&lt;Q$3+7),AND(学校マスタ!$J64&lt;&gt;"",学校マスタ!$J64&gt;=Q$3,学校マスタ!$J64&lt;Q$3+7),AND(学校マスタ!$L64&lt;&gt;"",学校マスタ!$L64&gt;=Q$3,学校マスタ!$L64&lt;Q$3+7)),"◆",IF(AND(学校マスタ!$O64&lt;&gt;"",学校マスタ!$P64&lt;&gt;"",学校マスタ!$O64&lt;Q$3+7,学校マスタ!$P64&gt;=Q$3),"█",IF(AND(学校マスタ!$R64&lt;&gt;"",学校マスタ!$U64&lt;&gt;"",学校マスタ!$R64&lt;Q$3+7,学校マスタ!$U64&gt;=Q$3),"▒","")))))</f>
        <v/>
      </c>
      <c r="R66" s="26">
        <f>IF(学校マスタ!$A64="","",IF(AND(学校マスタ!$U64&lt;&gt;"",学校マスタ!$U64&gt;=R$3,学校マスタ!$U64&lt;R$3+7),"◎",IF(OR(AND(学校マスタ!$H64&lt;&gt;"",学校マスタ!$H64&gt;=R$3,学校マスタ!$H64&lt;R$3+7),AND(学校マスタ!$J64&lt;&gt;"",学校マスタ!$J64&gt;=R$3,学校マスタ!$J64&lt;R$3+7),AND(学校マスタ!$L64&lt;&gt;"",学校マスタ!$L64&gt;=R$3,学校マスタ!$L64&lt;R$3+7)),"◆",IF(AND(学校マスタ!$O64&lt;&gt;"",学校マスタ!$P64&lt;&gt;"",学校マスタ!$O64&lt;R$3+7,学校マスタ!$P64&gt;=R$3),"█",IF(AND(学校マスタ!$R64&lt;&gt;"",学校マスタ!$U64&lt;&gt;"",学校マスタ!$R64&lt;R$3+7,学校マスタ!$U64&gt;=R$3),"▒","")))))</f>
        <v/>
      </c>
      <c r="S66" s="26">
        <f>IF(学校マスタ!$A64="","",IF(AND(学校マスタ!$U64&lt;&gt;"",学校マスタ!$U64&gt;=S$3,学校マスタ!$U64&lt;S$3+7),"◎",IF(OR(AND(学校マスタ!$H64&lt;&gt;"",学校マスタ!$H64&gt;=S$3,学校マスタ!$H64&lt;S$3+7),AND(学校マスタ!$J64&lt;&gt;"",学校マスタ!$J64&gt;=S$3,学校マスタ!$J64&lt;S$3+7),AND(学校マスタ!$L64&lt;&gt;"",学校マスタ!$L64&gt;=S$3,学校マスタ!$L64&lt;S$3+7)),"◆",IF(AND(学校マスタ!$O64&lt;&gt;"",学校マスタ!$P64&lt;&gt;"",学校マスタ!$O64&lt;S$3+7,学校マスタ!$P64&gt;=S$3),"█",IF(AND(学校マスタ!$R64&lt;&gt;"",学校マスタ!$U64&lt;&gt;"",学校マスタ!$R64&lt;S$3+7,学校マスタ!$U64&gt;=S$3),"▒","")))))</f>
        <v/>
      </c>
      <c r="T66" s="26">
        <f>IF(学校マスタ!$A64="","",IF(AND(学校マスタ!$U64&lt;&gt;"",学校マスタ!$U64&gt;=T$3,学校マスタ!$U64&lt;T$3+7),"◎",IF(OR(AND(学校マスタ!$H64&lt;&gt;"",学校マスタ!$H64&gt;=T$3,学校マスタ!$H64&lt;T$3+7),AND(学校マスタ!$J64&lt;&gt;"",学校マスタ!$J64&gt;=T$3,学校マスタ!$J64&lt;T$3+7),AND(学校マスタ!$L64&lt;&gt;"",学校マスタ!$L64&gt;=T$3,学校マスタ!$L64&lt;T$3+7)),"◆",IF(AND(学校マスタ!$O64&lt;&gt;"",学校マスタ!$P64&lt;&gt;"",学校マスタ!$O64&lt;T$3+7,学校マスタ!$P64&gt;=T$3),"█",IF(AND(学校マスタ!$R64&lt;&gt;"",学校マスタ!$U64&lt;&gt;"",学校マスタ!$R64&lt;T$3+7,学校マスタ!$U64&gt;=T$3),"▒","")))))</f>
        <v/>
      </c>
      <c r="U66" s="26">
        <f>IF(学校マスタ!$A64="","",IF(AND(学校マスタ!$U64&lt;&gt;"",学校マスタ!$U64&gt;=U$3,学校マスタ!$U64&lt;U$3+7),"◎",IF(OR(AND(学校マスタ!$H64&lt;&gt;"",学校マスタ!$H64&gt;=U$3,学校マスタ!$H64&lt;U$3+7),AND(学校マスタ!$J64&lt;&gt;"",学校マスタ!$J64&gt;=U$3,学校マスタ!$J64&lt;U$3+7),AND(学校マスタ!$L64&lt;&gt;"",学校マスタ!$L64&gt;=U$3,学校マスタ!$L64&lt;U$3+7)),"◆",IF(AND(学校マスタ!$O64&lt;&gt;"",学校マスタ!$P64&lt;&gt;"",学校マスタ!$O64&lt;U$3+7,学校マスタ!$P64&gt;=U$3),"█",IF(AND(学校マスタ!$R64&lt;&gt;"",学校マスタ!$U64&lt;&gt;"",学校マスタ!$R64&lt;U$3+7,学校マスタ!$U64&gt;=U$3),"▒","")))))</f>
        <v/>
      </c>
      <c r="V66" s="26">
        <f>IF(学校マスタ!$A64="","",IF(AND(学校マスタ!$U64&lt;&gt;"",学校マスタ!$U64&gt;=V$3,学校マスタ!$U64&lt;V$3+7),"◎",IF(OR(AND(学校マスタ!$H64&lt;&gt;"",学校マスタ!$H64&gt;=V$3,学校マスタ!$H64&lt;V$3+7),AND(学校マスタ!$J64&lt;&gt;"",学校マスタ!$J64&gt;=V$3,学校マスタ!$J64&lt;V$3+7),AND(学校マスタ!$L64&lt;&gt;"",学校マスタ!$L64&gt;=V$3,学校マスタ!$L64&lt;V$3+7)),"◆",IF(AND(学校マスタ!$O64&lt;&gt;"",学校マスタ!$P64&lt;&gt;"",学校マスタ!$O64&lt;V$3+7,学校マスタ!$P64&gt;=V$3),"█",IF(AND(学校マスタ!$R64&lt;&gt;"",学校マスタ!$U64&lt;&gt;"",学校マスタ!$R64&lt;V$3+7,学校マスタ!$U64&gt;=V$3),"▒","")))))</f>
        <v/>
      </c>
      <c r="W66" s="26">
        <f>IF(学校マスタ!$A64="","",IF(AND(学校マスタ!$U64&lt;&gt;"",学校マスタ!$U64&gt;=W$3,学校マスタ!$U64&lt;W$3+7),"◎",IF(OR(AND(学校マスタ!$H64&lt;&gt;"",学校マスタ!$H64&gt;=W$3,学校マスタ!$H64&lt;W$3+7),AND(学校マスタ!$J64&lt;&gt;"",学校マスタ!$J64&gt;=W$3,学校マスタ!$J64&lt;W$3+7),AND(学校マスタ!$L64&lt;&gt;"",学校マスタ!$L64&gt;=W$3,学校マスタ!$L64&lt;W$3+7)),"◆",IF(AND(学校マスタ!$O64&lt;&gt;"",学校マスタ!$P64&lt;&gt;"",学校マスタ!$O64&lt;W$3+7,学校マスタ!$P64&gt;=W$3),"█",IF(AND(学校マスタ!$R64&lt;&gt;"",学校マスタ!$U64&lt;&gt;"",学校マスタ!$R64&lt;W$3+7,学校マスタ!$U64&gt;=W$3),"▒","")))))</f>
        <v/>
      </c>
      <c r="X66" s="26">
        <f>IF(学校マスタ!$A64="","",IF(AND(学校マスタ!$U64&lt;&gt;"",学校マスタ!$U64&gt;=X$3,学校マスタ!$U64&lt;X$3+7),"◎",IF(OR(AND(学校マスタ!$H64&lt;&gt;"",学校マスタ!$H64&gt;=X$3,学校マスタ!$H64&lt;X$3+7),AND(学校マスタ!$J64&lt;&gt;"",学校マスタ!$J64&gt;=X$3,学校マスタ!$J64&lt;X$3+7),AND(学校マスタ!$L64&lt;&gt;"",学校マスタ!$L64&gt;=X$3,学校マスタ!$L64&lt;X$3+7)),"◆",IF(AND(学校マスタ!$O64&lt;&gt;"",学校マスタ!$P64&lt;&gt;"",学校マスタ!$O64&lt;X$3+7,学校マスタ!$P64&gt;=X$3),"█",IF(AND(学校マスタ!$R64&lt;&gt;"",学校マスタ!$U64&lt;&gt;"",学校マスタ!$R64&lt;X$3+7,学校マスタ!$U64&gt;=X$3),"▒","")))))</f>
        <v/>
      </c>
      <c r="Y66" s="26">
        <f>IF(学校マスタ!$A64="","",IF(AND(学校マスタ!$U64&lt;&gt;"",学校マスタ!$U64&gt;=Y$3,学校マスタ!$U64&lt;Y$3+7),"◎",IF(OR(AND(学校マスタ!$H64&lt;&gt;"",学校マスタ!$H64&gt;=Y$3,学校マスタ!$H64&lt;Y$3+7),AND(学校マスタ!$J64&lt;&gt;"",学校マスタ!$J64&gt;=Y$3,学校マスタ!$J64&lt;Y$3+7),AND(学校マスタ!$L64&lt;&gt;"",学校マスタ!$L64&gt;=Y$3,学校マスタ!$L64&lt;Y$3+7)),"◆",IF(AND(学校マスタ!$O64&lt;&gt;"",学校マスタ!$P64&lt;&gt;"",学校マスタ!$O64&lt;Y$3+7,学校マスタ!$P64&gt;=Y$3),"█",IF(AND(学校マスタ!$R64&lt;&gt;"",学校マスタ!$U64&lt;&gt;"",学校マスタ!$R64&lt;Y$3+7,学校マスタ!$U64&gt;=Y$3),"▒","")))))</f>
        <v/>
      </c>
      <c r="Z66" s="26">
        <f>IF(学校マスタ!$A64="","",IF(AND(学校マスタ!$U64&lt;&gt;"",学校マスタ!$U64&gt;=Z$3,学校マスタ!$U64&lt;Z$3+7),"◎",IF(OR(AND(学校マスタ!$H64&lt;&gt;"",学校マスタ!$H64&gt;=Z$3,学校マスタ!$H64&lt;Z$3+7),AND(学校マスタ!$J64&lt;&gt;"",学校マスタ!$J64&gt;=Z$3,学校マスタ!$J64&lt;Z$3+7),AND(学校マスタ!$L64&lt;&gt;"",学校マスタ!$L64&gt;=Z$3,学校マスタ!$L64&lt;Z$3+7)),"◆",IF(AND(学校マスタ!$O64&lt;&gt;"",学校マスタ!$P64&lt;&gt;"",学校マスタ!$O64&lt;Z$3+7,学校マスタ!$P64&gt;=Z$3),"█",IF(AND(学校マスタ!$R64&lt;&gt;"",学校マスタ!$U64&lt;&gt;"",学校マスタ!$R64&lt;Z$3+7,学校マスタ!$U64&gt;=Z$3),"▒","")))))</f>
        <v/>
      </c>
      <c r="AA66" s="26">
        <f>IF(学校マスタ!$A64="","",IF(AND(学校マスタ!$U64&lt;&gt;"",学校マスタ!$U64&gt;=AA$3,学校マスタ!$U64&lt;AA$3+7),"◎",IF(OR(AND(学校マスタ!$H64&lt;&gt;"",学校マスタ!$H64&gt;=AA$3,学校マスタ!$H64&lt;AA$3+7),AND(学校マスタ!$J64&lt;&gt;"",学校マスタ!$J64&gt;=AA$3,学校マスタ!$J64&lt;AA$3+7),AND(学校マスタ!$L64&lt;&gt;"",学校マスタ!$L64&gt;=AA$3,学校マスタ!$L64&lt;AA$3+7)),"◆",IF(AND(学校マスタ!$O64&lt;&gt;"",学校マスタ!$P64&lt;&gt;"",学校マスタ!$O64&lt;AA$3+7,学校マスタ!$P64&gt;=AA$3),"█",IF(AND(学校マスタ!$R64&lt;&gt;"",学校マスタ!$U64&lt;&gt;"",学校マスタ!$R64&lt;AA$3+7,学校マスタ!$U64&gt;=AA$3),"▒","")))))</f>
        <v/>
      </c>
      <c r="AB66" s="26">
        <f>IF(学校マスタ!$A64="","",IF(AND(学校マスタ!$U64&lt;&gt;"",学校マスタ!$U64&gt;=AB$3,学校マスタ!$U64&lt;AB$3+7),"◎",IF(OR(AND(学校マスタ!$H64&lt;&gt;"",学校マスタ!$H64&gt;=AB$3,学校マスタ!$H64&lt;AB$3+7),AND(学校マスタ!$J64&lt;&gt;"",学校マスタ!$J64&gt;=AB$3,学校マスタ!$J64&lt;AB$3+7),AND(学校マスタ!$L64&lt;&gt;"",学校マスタ!$L64&gt;=AB$3,学校マスタ!$L64&lt;AB$3+7)),"◆",IF(AND(学校マスタ!$O64&lt;&gt;"",学校マスタ!$P64&lt;&gt;"",学校マスタ!$O64&lt;AB$3+7,学校マスタ!$P64&gt;=AB$3),"█",IF(AND(学校マスタ!$R64&lt;&gt;"",学校マスタ!$U64&lt;&gt;"",学校マスタ!$R64&lt;AB$3+7,学校マスタ!$U64&gt;=AB$3),"▒","")))))</f>
        <v/>
      </c>
    </row>
    <row r="67">
      <c r="A67" s="19">
        <f>IF(学校マスタ!$A65="","",学校マスタ!$A65)</f>
        <v/>
      </c>
      <c r="B67" s="19">
        <f>IF(学校マスタ!$A65="","",学校マスタ!$C65)</f>
        <v/>
      </c>
      <c r="C67" s="19">
        <f>IF(学校マスタ!$A65="","",学校マスタ!$X65)</f>
        <v/>
      </c>
      <c r="D67" s="25">
        <f>IF(学校マスタ!$A65="","",学校マスタ!$R65)</f>
        <v/>
      </c>
      <c r="E67" s="26">
        <f>IF(学校マスタ!$A65="","",IF(AND(学校マスタ!$U65&lt;&gt;"",学校マスタ!$U65&gt;=E$3,学校マスタ!$U65&lt;E$3+7),"◎",IF(OR(AND(学校マスタ!$H65&lt;&gt;"",学校マスタ!$H65&gt;=E$3,学校マスタ!$H65&lt;E$3+7),AND(学校マスタ!$J65&lt;&gt;"",学校マスタ!$J65&gt;=E$3,学校マスタ!$J65&lt;E$3+7),AND(学校マスタ!$L65&lt;&gt;"",学校マスタ!$L65&gt;=E$3,学校マスタ!$L65&lt;E$3+7)),"◆",IF(AND(学校マスタ!$O65&lt;&gt;"",学校マスタ!$P65&lt;&gt;"",学校マスタ!$O65&lt;E$3+7,学校マスタ!$P65&gt;=E$3),"█",IF(AND(学校マスタ!$R65&lt;&gt;"",学校マスタ!$U65&lt;&gt;"",学校マスタ!$R65&lt;E$3+7,学校マスタ!$U65&gt;=E$3),"▒","")))))</f>
        <v/>
      </c>
      <c r="F67" s="26">
        <f>IF(学校マスタ!$A65="","",IF(AND(学校マスタ!$U65&lt;&gt;"",学校マスタ!$U65&gt;=F$3,学校マスタ!$U65&lt;F$3+7),"◎",IF(OR(AND(学校マスタ!$H65&lt;&gt;"",学校マスタ!$H65&gt;=F$3,学校マスタ!$H65&lt;F$3+7),AND(学校マスタ!$J65&lt;&gt;"",学校マスタ!$J65&gt;=F$3,学校マスタ!$J65&lt;F$3+7),AND(学校マスタ!$L65&lt;&gt;"",学校マスタ!$L65&gt;=F$3,学校マスタ!$L65&lt;F$3+7)),"◆",IF(AND(学校マスタ!$O65&lt;&gt;"",学校マスタ!$P65&lt;&gt;"",学校マスタ!$O65&lt;F$3+7,学校マスタ!$P65&gt;=F$3),"█",IF(AND(学校マスタ!$R65&lt;&gt;"",学校マスタ!$U65&lt;&gt;"",学校マスタ!$R65&lt;F$3+7,学校マスタ!$U65&gt;=F$3),"▒","")))))</f>
        <v/>
      </c>
      <c r="G67" s="26">
        <f>IF(学校マスタ!$A65="","",IF(AND(学校マスタ!$U65&lt;&gt;"",学校マスタ!$U65&gt;=G$3,学校マスタ!$U65&lt;G$3+7),"◎",IF(OR(AND(学校マスタ!$H65&lt;&gt;"",学校マスタ!$H65&gt;=G$3,学校マスタ!$H65&lt;G$3+7),AND(学校マスタ!$J65&lt;&gt;"",学校マスタ!$J65&gt;=G$3,学校マスタ!$J65&lt;G$3+7),AND(学校マスタ!$L65&lt;&gt;"",学校マスタ!$L65&gt;=G$3,学校マスタ!$L65&lt;G$3+7)),"◆",IF(AND(学校マスタ!$O65&lt;&gt;"",学校マスタ!$P65&lt;&gt;"",学校マスタ!$O65&lt;G$3+7,学校マスタ!$P65&gt;=G$3),"█",IF(AND(学校マスタ!$R65&lt;&gt;"",学校マスタ!$U65&lt;&gt;"",学校マスタ!$R65&lt;G$3+7,学校マスタ!$U65&gt;=G$3),"▒","")))))</f>
        <v/>
      </c>
      <c r="H67" s="26">
        <f>IF(学校マスタ!$A65="","",IF(AND(学校マスタ!$U65&lt;&gt;"",学校マスタ!$U65&gt;=H$3,学校マスタ!$U65&lt;H$3+7),"◎",IF(OR(AND(学校マスタ!$H65&lt;&gt;"",学校マスタ!$H65&gt;=H$3,学校マスタ!$H65&lt;H$3+7),AND(学校マスタ!$J65&lt;&gt;"",学校マスタ!$J65&gt;=H$3,学校マスタ!$J65&lt;H$3+7),AND(学校マスタ!$L65&lt;&gt;"",学校マスタ!$L65&gt;=H$3,学校マスタ!$L65&lt;H$3+7)),"◆",IF(AND(学校マスタ!$O65&lt;&gt;"",学校マスタ!$P65&lt;&gt;"",学校マスタ!$O65&lt;H$3+7,学校マスタ!$P65&gt;=H$3),"█",IF(AND(学校マスタ!$R65&lt;&gt;"",学校マスタ!$U65&lt;&gt;"",学校マスタ!$R65&lt;H$3+7,学校マスタ!$U65&gt;=H$3),"▒","")))))</f>
        <v/>
      </c>
      <c r="I67" s="26">
        <f>IF(学校マスタ!$A65="","",IF(AND(学校マスタ!$U65&lt;&gt;"",学校マスタ!$U65&gt;=I$3,学校マスタ!$U65&lt;I$3+7),"◎",IF(OR(AND(学校マスタ!$H65&lt;&gt;"",学校マスタ!$H65&gt;=I$3,学校マスタ!$H65&lt;I$3+7),AND(学校マスタ!$J65&lt;&gt;"",学校マスタ!$J65&gt;=I$3,学校マスタ!$J65&lt;I$3+7),AND(学校マスタ!$L65&lt;&gt;"",学校マスタ!$L65&gt;=I$3,学校マスタ!$L65&lt;I$3+7)),"◆",IF(AND(学校マスタ!$O65&lt;&gt;"",学校マスタ!$P65&lt;&gt;"",学校マスタ!$O65&lt;I$3+7,学校マスタ!$P65&gt;=I$3),"█",IF(AND(学校マスタ!$R65&lt;&gt;"",学校マスタ!$U65&lt;&gt;"",学校マスタ!$R65&lt;I$3+7,学校マスタ!$U65&gt;=I$3),"▒","")))))</f>
        <v/>
      </c>
      <c r="J67" s="26">
        <f>IF(学校マスタ!$A65="","",IF(AND(学校マスタ!$U65&lt;&gt;"",学校マスタ!$U65&gt;=J$3,学校マスタ!$U65&lt;J$3+7),"◎",IF(OR(AND(学校マスタ!$H65&lt;&gt;"",学校マスタ!$H65&gt;=J$3,学校マスタ!$H65&lt;J$3+7),AND(学校マスタ!$J65&lt;&gt;"",学校マスタ!$J65&gt;=J$3,学校マスタ!$J65&lt;J$3+7),AND(学校マスタ!$L65&lt;&gt;"",学校マスタ!$L65&gt;=J$3,学校マスタ!$L65&lt;J$3+7)),"◆",IF(AND(学校マスタ!$O65&lt;&gt;"",学校マスタ!$P65&lt;&gt;"",学校マスタ!$O65&lt;J$3+7,学校マスタ!$P65&gt;=J$3),"█",IF(AND(学校マスタ!$R65&lt;&gt;"",学校マスタ!$U65&lt;&gt;"",学校マスタ!$R65&lt;J$3+7,学校マスタ!$U65&gt;=J$3),"▒","")))))</f>
        <v/>
      </c>
      <c r="K67" s="26">
        <f>IF(学校マスタ!$A65="","",IF(AND(学校マスタ!$U65&lt;&gt;"",学校マスタ!$U65&gt;=K$3,学校マスタ!$U65&lt;K$3+7),"◎",IF(OR(AND(学校マスタ!$H65&lt;&gt;"",学校マスタ!$H65&gt;=K$3,学校マスタ!$H65&lt;K$3+7),AND(学校マスタ!$J65&lt;&gt;"",学校マスタ!$J65&gt;=K$3,学校マスタ!$J65&lt;K$3+7),AND(学校マスタ!$L65&lt;&gt;"",学校マスタ!$L65&gt;=K$3,学校マスタ!$L65&lt;K$3+7)),"◆",IF(AND(学校マスタ!$O65&lt;&gt;"",学校マスタ!$P65&lt;&gt;"",学校マスタ!$O65&lt;K$3+7,学校マスタ!$P65&gt;=K$3),"█",IF(AND(学校マスタ!$R65&lt;&gt;"",学校マスタ!$U65&lt;&gt;"",学校マスタ!$R65&lt;K$3+7,学校マスタ!$U65&gt;=K$3),"▒","")))))</f>
        <v/>
      </c>
      <c r="L67" s="26">
        <f>IF(学校マスタ!$A65="","",IF(AND(学校マスタ!$U65&lt;&gt;"",学校マスタ!$U65&gt;=L$3,学校マスタ!$U65&lt;L$3+7),"◎",IF(OR(AND(学校マスタ!$H65&lt;&gt;"",学校マスタ!$H65&gt;=L$3,学校マスタ!$H65&lt;L$3+7),AND(学校マスタ!$J65&lt;&gt;"",学校マスタ!$J65&gt;=L$3,学校マスタ!$J65&lt;L$3+7),AND(学校マスタ!$L65&lt;&gt;"",学校マスタ!$L65&gt;=L$3,学校マスタ!$L65&lt;L$3+7)),"◆",IF(AND(学校マスタ!$O65&lt;&gt;"",学校マスタ!$P65&lt;&gt;"",学校マスタ!$O65&lt;L$3+7,学校マスタ!$P65&gt;=L$3),"█",IF(AND(学校マスタ!$R65&lt;&gt;"",学校マスタ!$U65&lt;&gt;"",学校マスタ!$R65&lt;L$3+7,学校マスタ!$U65&gt;=L$3),"▒","")))))</f>
        <v/>
      </c>
      <c r="M67" s="26">
        <f>IF(学校マスタ!$A65="","",IF(AND(学校マスタ!$U65&lt;&gt;"",学校マスタ!$U65&gt;=M$3,学校マスタ!$U65&lt;M$3+7),"◎",IF(OR(AND(学校マスタ!$H65&lt;&gt;"",学校マスタ!$H65&gt;=M$3,学校マスタ!$H65&lt;M$3+7),AND(学校マスタ!$J65&lt;&gt;"",学校マスタ!$J65&gt;=M$3,学校マスタ!$J65&lt;M$3+7),AND(学校マスタ!$L65&lt;&gt;"",学校マスタ!$L65&gt;=M$3,学校マスタ!$L65&lt;M$3+7)),"◆",IF(AND(学校マスタ!$O65&lt;&gt;"",学校マスタ!$P65&lt;&gt;"",学校マスタ!$O65&lt;M$3+7,学校マスタ!$P65&gt;=M$3),"█",IF(AND(学校マスタ!$R65&lt;&gt;"",学校マスタ!$U65&lt;&gt;"",学校マスタ!$R65&lt;M$3+7,学校マスタ!$U65&gt;=M$3),"▒","")))))</f>
        <v/>
      </c>
      <c r="N67" s="26">
        <f>IF(学校マスタ!$A65="","",IF(AND(学校マスタ!$U65&lt;&gt;"",学校マスタ!$U65&gt;=N$3,学校マスタ!$U65&lt;N$3+7),"◎",IF(OR(AND(学校マスタ!$H65&lt;&gt;"",学校マスタ!$H65&gt;=N$3,学校マスタ!$H65&lt;N$3+7),AND(学校マスタ!$J65&lt;&gt;"",学校マスタ!$J65&gt;=N$3,学校マスタ!$J65&lt;N$3+7),AND(学校マスタ!$L65&lt;&gt;"",学校マスタ!$L65&gt;=N$3,学校マスタ!$L65&lt;N$3+7)),"◆",IF(AND(学校マスタ!$O65&lt;&gt;"",学校マスタ!$P65&lt;&gt;"",学校マスタ!$O65&lt;N$3+7,学校マスタ!$P65&gt;=N$3),"█",IF(AND(学校マスタ!$R65&lt;&gt;"",学校マスタ!$U65&lt;&gt;"",学校マスタ!$R65&lt;N$3+7,学校マスタ!$U65&gt;=N$3),"▒","")))))</f>
        <v/>
      </c>
      <c r="O67" s="26">
        <f>IF(学校マスタ!$A65="","",IF(AND(学校マスタ!$U65&lt;&gt;"",学校マスタ!$U65&gt;=O$3,学校マスタ!$U65&lt;O$3+7),"◎",IF(OR(AND(学校マスタ!$H65&lt;&gt;"",学校マスタ!$H65&gt;=O$3,学校マスタ!$H65&lt;O$3+7),AND(学校マスタ!$J65&lt;&gt;"",学校マスタ!$J65&gt;=O$3,学校マスタ!$J65&lt;O$3+7),AND(学校マスタ!$L65&lt;&gt;"",学校マスタ!$L65&gt;=O$3,学校マスタ!$L65&lt;O$3+7)),"◆",IF(AND(学校マスタ!$O65&lt;&gt;"",学校マスタ!$P65&lt;&gt;"",学校マスタ!$O65&lt;O$3+7,学校マスタ!$P65&gt;=O$3),"█",IF(AND(学校マスタ!$R65&lt;&gt;"",学校マスタ!$U65&lt;&gt;"",学校マスタ!$R65&lt;O$3+7,学校マスタ!$U65&gt;=O$3),"▒","")))))</f>
        <v/>
      </c>
      <c r="P67" s="26">
        <f>IF(学校マスタ!$A65="","",IF(AND(学校マスタ!$U65&lt;&gt;"",学校マスタ!$U65&gt;=P$3,学校マスタ!$U65&lt;P$3+7),"◎",IF(OR(AND(学校マスタ!$H65&lt;&gt;"",学校マスタ!$H65&gt;=P$3,学校マスタ!$H65&lt;P$3+7),AND(学校マスタ!$J65&lt;&gt;"",学校マスタ!$J65&gt;=P$3,学校マスタ!$J65&lt;P$3+7),AND(学校マスタ!$L65&lt;&gt;"",学校マスタ!$L65&gt;=P$3,学校マスタ!$L65&lt;P$3+7)),"◆",IF(AND(学校マスタ!$O65&lt;&gt;"",学校マスタ!$P65&lt;&gt;"",学校マスタ!$O65&lt;P$3+7,学校マスタ!$P65&gt;=P$3),"█",IF(AND(学校マスタ!$R65&lt;&gt;"",学校マスタ!$U65&lt;&gt;"",学校マスタ!$R65&lt;P$3+7,学校マスタ!$U65&gt;=P$3),"▒","")))))</f>
        <v/>
      </c>
      <c r="Q67" s="26">
        <f>IF(学校マスタ!$A65="","",IF(AND(学校マスタ!$U65&lt;&gt;"",学校マスタ!$U65&gt;=Q$3,学校マスタ!$U65&lt;Q$3+7),"◎",IF(OR(AND(学校マスタ!$H65&lt;&gt;"",学校マスタ!$H65&gt;=Q$3,学校マスタ!$H65&lt;Q$3+7),AND(学校マスタ!$J65&lt;&gt;"",学校マスタ!$J65&gt;=Q$3,学校マスタ!$J65&lt;Q$3+7),AND(学校マスタ!$L65&lt;&gt;"",学校マスタ!$L65&gt;=Q$3,学校マスタ!$L65&lt;Q$3+7)),"◆",IF(AND(学校マスタ!$O65&lt;&gt;"",学校マスタ!$P65&lt;&gt;"",学校マスタ!$O65&lt;Q$3+7,学校マスタ!$P65&gt;=Q$3),"█",IF(AND(学校マスタ!$R65&lt;&gt;"",学校マスタ!$U65&lt;&gt;"",学校マスタ!$R65&lt;Q$3+7,学校マスタ!$U65&gt;=Q$3),"▒","")))))</f>
        <v/>
      </c>
      <c r="R67" s="26">
        <f>IF(学校マスタ!$A65="","",IF(AND(学校マスタ!$U65&lt;&gt;"",学校マスタ!$U65&gt;=R$3,学校マスタ!$U65&lt;R$3+7),"◎",IF(OR(AND(学校マスタ!$H65&lt;&gt;"",学校マスタ!$H65&gt;=R$3,学校マスタ!$H65&lt;R$3+7),AND(学校マスタ!$J65&lt;&gt;"",学校マスタ!$J65&gt;=R$3,学校マスタ!$J65&lt;R$3+7),AND(学校マスタ!$L65&lt;&gt;"",学校マスタ!$L65&gt;=R$3,学校マスタ!$L65&lt;R$3+7)),"◆",IF(AND(学校マスタ!$O65&lt;&gt;"",学校マスタ!$P65&lt;&gt;"",学校マスタ!$O65&lt;R$3+7,学校マスタ!$P65&gt;=R$3),"█",IF(AND(学校マスタ!$R65&lt;&gt;"",学校マスタ!$U65&lt;&gt;"",学校マスタ!$R65&lt;R$3+7,学校マスタ!$U65&gt;=R$3),"▒","")))))</f>
        <v/>
      </c>
      <c r="S67" s="26">
        <f>IF(学校マスタ!$A65="","",IF(AND(学校マスタ!$U65&lt;&gt;"",学校マスタ!$U65&gt;=S$3,学校マスタ!$U65&lt;S$3+7),"◎",IF(OR(AND(学校マスタ!$H65&lt;&gt;"",学校マスタ!$H65&gt;=S$3,学校マスタ!$H65&lt;S$3+7),AND(学校マスタ!$J65&lt;&gt;"",学校マスタ!$J65&gt;=S$3,学校マスタ!$J65&lt;S$3+7),AND(学校マスタ!$L65&lt;&gt;"",学校マスタ!$L65&gt;=S$3,学校マスタ!$L65&lt;S$3+7)),"◆",IF(AND(学校マスタ!$O65&lt;&gt;"",学校マスタ!$P65&lt;&gt;"",学校マスタ!$O65&lt;S$3+7,学校マスタ!$P65&gt;=S$3),"█",IF(AND(学校マスタ!$R65&lt;&gt;"",学校マスタ!$U65&lt;&gt;"",学校マスタ!$R65&lt;S$3+7,学校マスタ!$U65&gt;=S$3),"▒","")))))</f>
        <v/>
      </c>
      <c r="T67" s="26">
        <f>IF(学校マスタ!$A65="","",IF(AND(学校マスタ!$U65&lt;&gt;"",学校マスタ!$U65&gt;=T$3,学校マスタ!$U65&lt;T$3+7),"◎",IF(OR(AND(学校マスタ!$H65&lt;&gt;"",学校マスタ!$H65&gt;=T$3,学校マスタ!$H65&lt;T$3+7),AND(学校マスタ!$J65&lt;&gt;"",学校マスタ!$J65&gt;=T$3,学校マスタ!$J65&lt;T$3+7),AND(学校マスタ!$L65&lt;&gt;"",学校マスタ!$L65&gt;=T$3,学校マスタ!$L65&lt;T$3+7)),"◆",IF(AND(学校マスタ!$O65&lt;&gt;"",学校マスタ!$P65&lt;&gt;"",学校マスタ!$O65&lt;T$3+7,学校マスタ!$P65&gt;=T$3),"█",IF(AND(学校マスタ!$R65&lt;&gt;"",学校マスタ!$U65&lt;&gt;"",学校マスタ!$R65&lt;T$3+7,学校マスタ!$U65&gt;=T$3),"▒","")))))</f>
        <v/>
      </c>
      <c r="U67" s="26">
        <f>IF(学校マスタ!$A65="","",IF(AND(学校マスタ!$U65&lt;&gt;"",学校マスタ!$U65&gt;=U$3,学校マスタ!$U65&lt;U$3+7),"◎",IF(OR(AND(学校マスタ!$H65&lt;&gt;"",学校マスタ!$H65&gt;=U$3,学校マスタ!$H65&lt;U$3+7),AND(学校マスタ!$J65&lt;&gt;"",学校マスタ!$J65&gt;=U$3,学校マスタ!$J65&lt;U$3+7),AND(学校マスタ!$L65&lt;&gt;"",学校マスタ!$L65&gt;=U$3,学校マスタ!$L65&lt;U$3+7)),"◆",IF(AND(学校マスタ!$O65&lt;&gt;"",学校マスタ!$P65&lt;&gt;"",学校マスタ!$O65&lt;U$3+7,学校マスタ!$P65&gt;=U$3),"█",IF(AND(学校マスタ!$R65&lt;&gt;"",学校マスタ!$U65&lt;&gt;"",学校マスタ!$R65&lt;U$3+7,学校マスタ!$U65&gt;=U$3),"▒","")))))</f>
        <v/>
      </c>
      <c r="V67" s="26">
        <f>IF(学校マスタ!$A65="","",IF(AND(学校マスタ!$U65&lt;&gt;"",学校マスタ!$U65&gt;=V$3,学校マスタ!$U65&lt;V$3+7),"◎",IF(OR(AND(学校マスタ!$H65&lt;&gt;"",学校マスタ!$H65&gt;=V$3,学校マスタ!$H65&lt;V$3+7),AND(学校マスタ!$J65&lt;&gt;"",学校マスタ!$J65&gt;=V$3,学校マスタ!$J65&lt;V$3+7),AND(学校マスタ!$L65&lt;&gt;"",学校マスタ!$L65&gt;=V$3,学校マスタ!$L65&lt;V$3+7)),"◆",IF(AND(学校マスタ!$O65&lt;&gt;"",学校マスタ!$P65&lt;&gt;"",学校マスタ!$O65&lt;V$3+7,学校マスタ!$P65&gt;=V$3),"█",IF(AND(学校マスタ!$R65&lt;&gt;"",学校マスタ!$U65&lt;&gt;"",学校マスタ!$R65&lt;V$3+7,学校マスタ!$U65&gt;=V$3),"▒","")))))</f>
        <v/>
      </c>
      <c r="W67" s="26">
        <f>IF(学校マスタ!$A65="","",IF(AND(学校マスタ!$U65&lt;&gt;"",学校マスタ!$U65&gt;=W$3,学校マスタ!$U65&lt;W$3+7),"◎",IF(OR(AND(学校マスタ!$H65&lt;&gt;"",学校マスタ!$H65&gt;=W$3,学校マスタ!$H65&lt;W$3+7),AND(学校マスタ!$J65&lt;&gt;"",学校マスタ!$J65&gt;=W$3,学校マスタ!$J65&lt;W$3+7),AND(学校マスタ!$L65&lt;&gt;"",学校マスタ!$L65&gt;=W$3,学校マスタ!$L65&lt;W$3+7)),"◆",IF(AND(学校マスタ!$O65&lt;&gt;"",学校マスタ!$P65&lt;&gt;"",学校マスタ!$O65&lt;W$3+7,学校マスタ!$P65&gt;=W$3),"█",IF(AND(学校マスタ!$R65&lt;&gt;"",学校マスタ!$U65&lt;&gt;"",学校マスタ!$R65&lt;W$3+7,学校マスタ!$U65&gt;=W$3),"▒","")))))</f>
        <v/>
      </c>
      <c r="X67" s="26">
        <f>IF(学校マスタ!$A65="","",IF(AND(学校マスタ!$U65&lt;&gt;"",学校マスタ!$U65&gt;=X$3,学校マスタ!$U65&lt;X$3+7),"◎",IF(OR(AND(学校マスタ!$H65&lt;&gt;"",学校マスタ!$H65&gt;=X$3,学校マスタ!$H65&lt;X$3+7),AND(学校マスタ!$J65&lt;&gt;"",学校マスタ!$J65&gt;=X$3,学校マスタ!$J65&lt;X$3+7),AND(学校マスタ!$L65&lt;&gt;"",学校マスタ!$L65&gt;=X$3,学校マスタ!$L65&lt;X$3+7)),"◆",IF(AND(学校マスタ!$O65&lt;&gt;"",学校マスタ!$P65&lt;&gt;"",学校マスタ!$O65&lt;X$3+7,学校マスタ!$P65&gt;=X$3),"█",IF(AND(学校マスタ!$R65&lt;&gt;"",学校マスタ!$U65&lt;&gt;"",学校マスタ!$R65&lt;X$3+7,学校マスタ!$U65&gt;=X$3),"▒","")))))</f>
        <v/>
      </c>
      <c r="Y67" s="26">
        <f>IF(学校マスタ!$A65="","",IF(AND(学校マスタ!$U65&lt;&gt;"",学校マスタ!$U65&gt;=Y$3,学校マスタ!$U65&lt;Y$3+7),"◎",IF(OR(AND(学校マスタ!$H65&lt;&gt;"",学校マスタ!$H65&gt;=Y$3,学校マスタ!$H65&lt;Y$3+7),AND(学校マスタ!$J65&lt;&gt;"",学校マスタ!$J65&gt;=Y$3,学校マスタ!$J65&lt;Y$3+7),AND(学校マスタ!$L65&lt;&gt;"",学校マスタ!$L65&gt;=Y$3,学校マスタ!$L65&lt;Y$3+7)),"◆",IF(AND(学校マスタ!$O65&lt;&gt;"",学校マスタ!$P65&lt;&gt;"",学校マスタ!$O65&lt;Y$3+7,学校マスタ!$P65&gt;=Y$3),"█",IF(AND(学校マスタ!$R65&lt;&gt;"",学校マスタ!$U65&lt;&gt;"",学校マスタ!$R65&lt;Y$3+7,学校マスタ!$U65&gt;=Y$3),"▒","")))))</f>
        <v/>
      </c>
      <c r="Z67" s="26">
        <f>IF(学校マスタ!$A65="","",IF(AND(学校マスタ!$U65&lt;&gt;"",学校マスタ!$U65&gt;=Z$3,学校マスタ!$U65&lt;Z$3+7),"◎",IF(OR(AND(学校マスタ!$H65&lt;&gt;"",学校マスタ!$H65&gt;=Z$3,学校マスタ!$H65&lt;Z$3+7),AND(学校マスタ!$J65&lt;&gt;"",学校マスタ!$J65&gt;=Z$3,学校マスタ!$J65&lt;Z$3+7),AND(学校マスタ!$L65&lt;&gt;"",学校マスタ!$L65&gt;=Z$3,学校マスタ!$L65&lt;Z$3+7)),"◆",IF(AND(学校マスタ!$O65&lt;&gt;"",学校マスタ!$P65&lt;&gt;"",学校マスタ!$O65&lt;Z$3+7,学校マスタ!$P65&gt;=Z$3),"█",IF(AND(学校マスタ!$R65&lt;&gt;"",学校マスタ!$U65&lt;&gt;"",学校マスタ!$R65&lt;Z$3+7,学校マスタ!$U65&gt;=Z$3),"▒","")))))</f>
        <v/>
      </c>
      <c r="AA67" s="26">
        <f>IF(学校マスタ!$A65="","",IF(AND(学校マスタ!$U65&lt;&gt;"",学校マスタ!$U65&gt;=AA$3,学校マスタ!$U65&lt;AA$3+7),"◎",IF(OR(AND(学校マスタ!$H65&lt;&gt;"",学校マスタ!$H65&gt;=AA$3,学校マスタ!$H65&lt;AA$3+7),AND(学校マスタ!$J65&lt;&gt;"",学校マスタ!$J65&gt;=AA$3,学校マスタ!$J65&lt;AA$3+7),AND(学校マスタ!$L65&lt;&gt;"",学校マスタ!$L65&gt;=AA$3,学校マスタ!$L65&lt;AA$3+7)),"◆",IF(AND(学校マスタ!$O65&lt;&gt;"",学校マスタ!$P65&lt;&gt;"",学校マスタ!$O65&lt;AA$3+7,学校マスタ!$P65&gt;=AA$3),"█",IF(AND(学校マスタ!$R65&lt;&gt;"",学校マスタ!$U65&lt;&gt;"",学校マスタ!$R65&lt;AA$3+7,学校マスタ!$U65&gt;=AA$3),"▒","")))))</f>
        <v/>
      </c>
      <c r="AB67" s="26">
        <f>IF(学校マスタ!$A65="","",IF(AND(学校マスタ!$U65&lt;&gt;"",学校マスタ!$U65&gt;=AB$3,学校マスタ!$U65&lt;AB$3+7),"◎",IF(OR(AND(学校マスタ!$H65&lt;&gt;"",学校マスタ!$H65&gt;=AB$3,学校マスタ!$H65&lt;AB$3+7),AND(学校マスタ!$J65&lt;&gt;"",学校マスタ!$J65&gt;=AB$3,学校マスタ!$J65&lt;AB$3+7),AND(学校マスタ!$L65&lt;&gt;"",学校マスタ!$L65&gt;=AB$3,学校マスタ!$L65&lt;AB$3+7)),"◆",IF(AND(学校マスタ!$O65&lt;&gt;"",学校マスタ!$P65&lt;&gt;"",学校マスタ!$O65&lt;AB$3+7,学校マスタ!$P65&gt;=AB$3),"█",IF(AND(学校マスタ!$R65&lt;&gt;"",学校マスタ!$U65&lt;&gt;"",学校マスタ!$R65&lt;AB$3+7,学校マスタ!$U65&gt;=AB$3),"▒","")))))</f>
        <v/>
      </c>
    </row>
    <row r="68">
      <c r="A68" s="19">
        <f>IF(学校マスタ!$A66="","",学校マスタ!$A66)</f>
        <v/>
      </c>
      <c r="B68" s="19">
        <f>IF(学校マスタ!$A66="","",学校マスタ!$C66)</f>
        <v/>
      </c>
      <c r="C68" s="19">
        <f>IF(学校マスタ!$A66="","",学校マスタ!$X66)</f>
        <v/>
      </c>
      <c r="D68" s="25">
        <f>IF(学校マスタ!$A66="","",学校マスタ!$R66)</f>
        <v/>
      </c>
      <c r="E68" s="26">
        <f>IF(学校マスタ!$A66="","",IF(AND(学校マスタ!$U66&lt;&gt;"",学校マスタ!$U66&gt;=E$3,学校マスタ!$U66&lt;E$3+7),"◎",IF(OR(AND(学校マスタ!$H66&lt;&gt;"",学校マスタ!$H66&gt;=E$3,学校マスタ!$H66&lt;E$3+7),AND(学校マスタ!$J66&lt;&gt;"",学校マスタ!$J66&gt;=E$3,学校マスタ!$J66&lt;E$3+7),AND(学校マスタ!$L66&lt;&gt;"",学校マスタ!$L66&gt;=E$3,学校マスタ!$L66&lt;E$3+7)),"◆",IF(AND(学校マスタ!$O66&lt;&gt;"",学校マスタ!$P66&lt;&gt;"",学校マスタ!$O66&lt;E$3+7,学校マスタ!$P66&gt;=E$3),"█",IF(AND(学校マスタ!$R66&lt;&gt;"",学校マスタ!$U66&lt;&gt;"",学校マスタ!$R66&lt;E$3+7,学校マスタ!$U66&gt;=E$3),"▒","")))))</f>
        <v/>
      </c>
      <c r="F68" s="26">
        <f>IF(学校マスタ!$A66="","",IF(AND(学校マスタ!$U66&lt;&gt;"",学校マスタ!$U66&gt;=F$3,学校マスタ!$U66&lt;F$3+7),"◎",IF(OR(AND(学校マスタ!$H66&lt;&gt;"",学校マスタ!$H66&gt;=F$3,学校マスタ!$H66&lt;F$3+7),AND(学校マスタ!$J66&lt;&gt;"",学校マスタ!$J66&gt;=F$3,学校マスタ!$J66&lt;F$3+7),AND(学校マスタ!$L66&lt;&gt;"",学校マスタ!$L66&gt;=F$3,学校マスタ!$L66&lt;F$3+7)),"◆",IF(AND(学校マスタ!$O66&lt;&gt;"",学校マスタ!$P66&lt;&gt;"",学校マスタ!$O66&lt;F$3+7,学校マスタ!$P66&gt;=F$3),"█",IF(AND(学校マスタ!$R66&lt;&gt;"",学校マスタ!$U66&lt;&gt;"",学校マスタ!$R66&lt;F$3+7,学校マスタ!$U66&gt;=F$3),"▒","")))))</f>
        <v/>
      </c>
      <c r="G68" s="26">
        <f>IF(学校マスタ!$A66="","",IF(AND(学校マスタ!$U66&lt;&gt;"",学校マスタ!$U66&gt;=G$3,学校マスタ!$U66&lt;G$3+7),"◎",IF(OR(AND(学校マスタ!$H66&lt;&gt;"",学校マスタ!$H66&gt;=G$3,学校マスタ!$H66&lt;G$3+7),AND(学校マスタ!$J66&lt;&gt;"",学校マスタ!$J66&gt;=G$3,学校マスタ!$J66&lt;G$3+7),AND(学校マスタ!$L66&lt;&gt;"",学校マスタ!$L66&gt;=G$3,学校マスタ!$L66&lt;G$3+7)),"◆",IF(AND(学校マスタ!$O66&lt;&gt;"",学校マスタ!$P66&lt;&gt;"",学校マスタ!$O66&lt;G$3+7,学校マスタ!$P66&gt;=G$3),"█",IF(AND(学校マスタ!$R66&lt;&gt;"",学校マスタ!$U66&lt;&gt;"",学校マスタ!$R66&lt;G$3+7,学校マスタ!$U66&gt;=G$3),"▒","")))))</f>
        <v/>
      </c>
      <c r="H68" s="26">
        <f>IF(学校マスタ!$A66="","",IF(AND(学校マスタ!$U66&lt;&gt;"",学校マスタ!$U66&gt;=H$3,学校マスタ!$U66&lt;H$3+7),"◎",IF(OR(AND(学校マスタ!$H66&lt;&gt;"",学校マスタ!$H66&gt;=H$3,学校マスタ!$H66&lt;H$3+7),AND(学校マスタ!$J66&lt;&gt;"",学校マスタ!$J66&gt;=H$3,学校マスタ!$J66&lt;H$3+7),AND(学校マスタ!$L66&lt;&gt;"",学校マスタ!$L66&gt;=H$3,学校マスタ!$L66&lt;H$3+7)),"◆",IF(AND(学校マスタ!$O66&lt;&gt;"",学校マスタ!$P66&lt;&gt;"",学校マスタ!$O66&lt;H$3+7,学校マスタ!$P66&gt;=H$3),"█",IF(AND(学校マスタ!$R66&lt;&gt;"",学校マスタ!$U66&lt;&gt;"",学校マスタ!$R66&lt;H$3+7,学校マスタ!$U66&gt;=H$3),"▒","")))))</f>
        <v/>
      </c>
      <c r="I68" s="26">
        <f>IF(学校マスタ!$A66="","",IF(AND(学校マスタ!$U66&lt;&gt;"",学校マスタ!$U66&gt;=I$3,学校マスタ!$U66&lt;I$3+7),"◎",IF(OR(AND(学校マスタ!$H66&lt;&gt;"",学校マスタ!$H66&gt;=I$3,学校マスタ!$H66&lt;I$3+7),AND(学校マスタ!$J66&lt;&gt;"",学校マスタ!$J66&gt;=I$3,学校マスタ!$J66&lt;I$3+7),AND(学校マスタ!$L66&lt;&gt;"",学校マスタ!$L66&gt;=I$3,学校マスタ!$L66&lt;I$3+7)),"◆",IF(AND(学校マスタ!$O66&lt;&gt;"",学校マスタ!$P66&lt;&gt;"",学校マスタ!$O66&lt;I$3+7,学校マスタ!$P66&gt;=I$3),"█",IF(AND(学校マスタ!$R66&lt;&gt;"",学校マスタ!$U66&lt;&gt;"",学校マスタ!$R66&lt;I$3+7,学校マスタ!$U66&gt;=I$3),"▒","")))))</f>
        <v/>
      </c>
      <c r="J68" s="26">
        <f>IF(学校マスタ!$A66="","",IF(AND(学校マスタ!$U66&lt;&gt;"",学校マスタ!$U66&gt;=J$3,学校マスタ!$U66&lt;J$3+7),"◎",IF(OR(AND(学校マスタ!$H66&lt;&gt;"",学校マスタ!$H66&gt;=J$3,学校マスタ!$H66&lt;J$3+7),AND(学校マスタ!$J66&lt;&gt;"",学校マスタ!$J66&gt;=J$3,学校マスタ!$J66&lt;J$3+7),AND(学校マスタ!$L66&lt;&gt;"",学校マスタ!$L66&gt;=J$3,学校マスタ!$L66&lt;J$3+7)),"◆",IF(AND(学校マスタ!$O66&lt;&gt;"",学校マスタ!$P66&lt;&gt;"",学校マスタ!$O66&lt;J$3+7,学校マスタ!$P66&gt;=J$3),"█",IF(AND(学校マスタ!$R66&lt;&gt;"",学校マスタ!$U66&lt;&gt;"",学校マスタ!$R66&lt;J$3+7,学校マスタ!$U66&gt;=J$3),"▒","")))))</f>
        <v/>
      </c>
      <c r="K68" s="26">
        <f>IF(学校マスタ!$A66="","",IF(AND(学校マスタ!$U66&lt;&gt;"",学校マスタ!$U66&gt;=K$3,学校マスタ!$U66&lt;K$3+7),"◎",IF(OR(AND(学校マスタ!$H66&lt;&gt;"",学校マスタ!$H66&gt;=K$3,学校マスタ!$H66&lt;K$3+7),AND(学校マスタ!$J66&lt;&gt;"",学校マスタ!$J66&gt;=K$3,学校マスタ!$J66&lt;K$3+7),AND(学校マスタ!$L66&lt;&gt;"",学校マスタ!$L66&gt;=K$3,学校マスタ!$L66&lt;K$3+7)),"◆",IF(AND(学校マスタ!$O66&lt;&gt;"",学校マスタ!$P66&lt;&gt;"",学校マスタ!$O66&lt;K$3+7,学校マスタ!$P66&gt;=K$3),"█",IF(AND(学校マスタ!$R66&lt;&gt;"",学校マスタ!$U66&lt;&gt;"",学校マスタ!$R66&lt;K$3+7,学校マスタ!$U66&gt;=K$3),"▒","")))))</f>
        <v/>
      </c>
      <c r="L68" s="26">
        <f>IF(学校マスタ!$A66="","",IF(AND(学校マスタ!$U66&lt;&gt;"",学校マスタ!$U66&gt;=L$3,学校マスタ!$U66&lt;L$3+7),"◎",IF(OR(AND(学校マスタ!$H66&lt;&gt;"",学校マスタ!$H66&gt;=L$3,学校マスタ!$H66&lt;L$3+7),AND(学校マスタ!$J66&lt;&gt;"",学校マスタ!$J66&gt;=L$3,学校マスタ!$J66&lt;L$3+7),AND(学校マスタ!$L66&lt;&gt;"",学校マスタ!$L66&gt;=L$3,学校マスタ!$L66&lt;L$3+7)),"◆",IF(AND(学校マスタ!$O66&lt;&gt;"",学校マスタ!$P66&lt;&gt;"",学校マスタ!$O66&lt;L$3+7,学校マスタ!$P66&gt;=L$3),"█",IF(AND(学校マスタ!$R66&lt;&gt;"",学校マスタ!$U66&lt;&gt;"",学校マスタ!$R66&lt;L$3+7,学校マスタ!$U66&gt;=L$3),"▒","")))))</f>
        <v/>
      </c>
      <c r="M68" s="26">
        <f>IF(学校マスタ!$A66="","",IF(AND(学校マスタ!$U66&lt;&gt;"",学校マスタ!$U66&gt;=M$3,学校マスタ!$U66&lt;M$3+7),"◎",IF(OR(AND(学校マスタ!$H66&lt;&gt;"",学校マスタ!$H66&gt;=M$3,学校マスタ!$H66&lt;M$3+7),AND(学校マスタ!$J66&lt;&gt;"",学校マスタ!$J66&gt;=M$3,学校マスタ!$J66&lt;M$3+7),AND(学校マスタ!$L66&lt;&gt;"",学校マスタ!$L66&gt;=M$3,学校マスタ!$L66&lt;M$3+7)),"◆",IF(AND(学校マスタ!$O66&lt;&gt;"",学校マスタ!$P66&lt;&gt;"",学校マスタ!$O66&lt;M$3+7,学校マスタ!$P66&gt;=M$3),"█",IF(AND(学校マスタ!$R66&lt;&gt;"",学校マスタ!$U66&lt;&gt;"",学校マスタ!$R66&lt;M$3+7,学校マスタ!$U66&gt;=M$3),"▒","")))))</f>
        <v/>
      </c>
      <c r="N68" s="26">
        <f>IF(学校マスタ!$A66="","",IF(AND(学校マスタ!$U66&lt;&gt;"",学校マスタ!$U66&gt;=N$3,学校マスタ!$U66&lt;N$3+7),"◎",IF(OR(AND(学校マスタ!$H66&lt;&gt;"",学校マスタ!$H66&gt;=N$3,学校マスタ!$H66&lt;N$3+7),AND(学校マスタ!$J66&lt;&gt;"",学校マスタ!$J66&gt;=N$3,学校マスタ!$J66&lt;N$3+7),AND(学校マスタ!$L66&lt;&gt;"",学校マスタ!$L66&gt;=N$3,学校マスタ!$L66&lt;N$3+7)),"◆",IF(AND(学校マスタ!$O66&lt;&gt;"",学校マスタ!$P66&lt;&gt;"",学校マスタ!$O66&lt;N$3+7,学校マスタ!$P66&gt;=N$3),"█",IF(AND(学校マスタ!$R66&lt;&gt;"",学校マスタ!$U66&lt;&gt;"",学校マスタ!$R66&lt;N$3+7,学校マスタ!$U66&gt;=N$3),"▒","")))))</f>
        <v/>
      </c>
      <c r="O68" s="26">
        <f>IF(学校マスタ!$A66="","",IF(AND(学校マスタ!$U66&lt;&gt;"",学校マスタ!$U66&gt;=O$3,学校マスタ!$U66&lt;O$3+7),"◎",IF(OR(AND(学校マスタ!$H66&lt;&gt;"",学校マスタ!$H66&gt;=O$3,学校マスタ!$H66&lt;O$3+7),AND(学校マスタ!$J66&lt;&gt;"",学校マスタ!$J66&gt;=O$3,学校マスタ!$J66&lt;O$3+7),AND(学校マスタ!$L66&lt;&gt;"",学校マスタ!$L66&gt;=O$3,学校マスタ!$L66&lt;O$3+7)),"◆",IF(AND(学校マスタ!$O66&lt;&gt;"",学校マスタ!$P66&lt;&gt;"",学校マスタ!$O66&lt;O$3+7,学校マスタ!$P66&gt;=O$3),"█",IF(AND(学校マスタ!$R66&lt;&gt;"",学校マスタ!$U66&lt;&gt;"",学校マスタ!$R66&lt;O$3+7,学校マスタ!$U66&gt;=O$3),"▒","")))))</f>
        <v/>
      </c>
      <c r="P68" s="26">
        <f>IF(学校マスタ!$A66="","",IF(AND(学校マスタ!$U66&lt;&gt;"",学校マスタ!$U66&gt;=P$3,学校マスタ!$U66&lt;P$3+7),"◎",IF(OR(AND(学校マスタ!$H66&lt;&gt;"",学校マスタ!$H66&gt;=P$3,学校マスタ!$H66&lt;P$3+7),AND(学校マスタ!$J66&lt;&gt;"",学校マスタ!$J66&gt;=P$3,学校マスタ!$J66&lt;P$3+7),AND(学校マスタ!$L66&lt;&gt;"",学校マスタ!$L66&gt;=P$3,学校マスタ!$L66&lt;P$3+7)),"◆",IF(AND(学校マスタ!$O66&lt;&gt;"",学校マスタ!$P66&lt;&gt;"",学校マスタ!$O66&lt;P$3+7,学校マスタ!$P66&gt;=P$3),"█",IF(AND(学校マスタ!$R66&lt;&gt;"",学校マスタ!$U66&lt;&gt;"",学校マスタ!$R66&lt;P$3+7,学校マスタ!$U66&gt;=P$3),"▒","")))))</f>
        <v/>
      </c>
      <c r="Q68" s="26">
        <f>IF(学校マスタ!$A66="","",IF(AND(学校マスタ!$U66&lt;&gt;"",学校マスタ!$U66&gt;=Q$3,学校マスタ!$U66&lt;Q$3+7),"◎",IF(OR(AND(学校マスタ!$H66&lt;&gt;"",学校マスタ!$H66&gt;=Q$3,学校マスタ!$H66&lt;Q$3+7),AND(学校マスタ!$J66&lt;&gt;"",学校マスタ!$J66&gt;=Q$3,学校マスタ!$J66&lt;Q$3+7),AND(学校マスタ!$L66&lt;&gt;"",学校マスタ!$L66&gt;=Q$3,学校マスタ!$L66&lt;Q$3+7)),"◆",IF(AND(学校マスタ!$O66&lt;&gt;"",学校マスタ!$P66&lt;&gt;"",学校マスタ!$O66&lt;Q$3+7,学校マスタ!$P66&gt;=Q$3),"█",IF(AND(学校マスタ!$R66&lt;&gt;"",学校マスタ!$U66&lt;&gt;"",学校マスタ!$R66&lt;Q$3+7,学校マスタ!$U66&gt;=Q$3),"▒","")))))</f>
        <v/>
      </c>
      <c r="R68" s="26">
        <f>IF(学校マスタ!$A66="","",IF(AND(学校マスタ!$U66&lt;&gt;"",学校マスタ!$U66&gt;=R$3,学校マスタ!$U66&lt;R$3+7),"◎",IF(OR(AND(学校マスタ!$H66&lt;&gt;"",学校マスタ!$H66&gt;=R$3,学校マスタ!$H66&lt;R$3+7),AND(学校マスタ!$J66&lt;&gt;"",学校マスタ!$J66&gt;=R$3,学校マスタ!$J66&lt;R$3+7),AND(学校マスタ!$L66&lt;&gt;"",学校マスタ!$L66&gt;=R$3,学校マスタ!$L66&lt;R$3+7)),"◆",IF(AND(学校マスタ!$O66&lt;&gt;"",学校マスタ!$P66&lt;&gt;"",学校マスタ!$O66&lt;R$3+7,学校マスタ!$P66&gt;=R$3),"█",IF(AND(学校マスタ!$R66&lt;&gt;"",学校マスタ!$U66&lt;&gt;"",学校マスタ!$R66&lt;R$3+7,学校マスタ!$U66&gt;=R$3),"▒","")))))</f>
        <v/>
      </c>
      <c r="S68" s="26">
        <f>IF(学校マスタ!$A66="","",IF(AND(学校マスタ!$U66&lt;&gt;"",学校マスタ!$U66&gt;=S$3,学校マスタ!$U66&lt;S$3+7),"◎",IF(OR(AND(学校マスタ!$H66&lt;&gt;"",学校マスタ!$H66&gt;=S$3,学校マスタ!$H66&lt;S$3+7),AND(学校マスタ!$J66&lt;&gt;"",学校マスタ!$J66&gt;=S$3,学校マスタ!$J66&lt;S$3+7),AND(学校マスタ!$L66&lt;&gt;"",学校マスタ!$L66&gt;=S$3,学校マスタ!$L66&lt;S$3+7)),"◆",IF(AND(学校マスタ!$O66&lt;&gt;"",学校マスタ!$P66&lt;&gt;"",学校マスタ!$O66&lt;S$3+7,学校マスタ!$P66&gt;=S$3),"█",IF(AND(学校マスタ!$R66&lt;&gt;"",学校マスタ!$U66&lt;&gt;"",学校マスタ!$R66&lt;S$3+7,学校マスタ!$U66&gt;=S$3),"▒","")))))</f>
        <v/>
      </c>
      <c r="T68" s="26">
        <f>IF(学校マスタ!$A66="","",IF(AND(学校マスタ!$U66&lt;&gt;"",学校マスタ!$U66&gt;=T$3,学校マスタ!$U66&lt;T$3+7),"◎",IF(OR(AND(学校マスタ!$H66&lt;&gt;"",学校マスタ!$H66&gt;=T$3,学校マスタ!$H66&lt;T$3+7),AND(学校マスタ!$J66&lt;&gt;"",学校マスタ!$J66&gt;=T$3,学校マスタ!$J66&lt;T$3+7),AND(学校マスタ!$L66&lt;&gt;"",学校マスタ!$L66&gt;=T$3,学校マスタ!$L66&lt;T$3+7)),"◆",IF(AND(学校マスタ!$O66&lt;&gt;"",学校マスタ!$P66&lt;&gt;"",学校マスタ!$O66&lt;T$3+7,学校マスタ!$P66&gt;=T$3),"█",IF(AND(学校マスタ!$R66&lt;&gt;"",学校マスタ!$U66&lt;&gt;"",学校マスタ!$R66&lt;T$3+7,学校マスタ!$U66&gt;=T$3),"▒","")))))</f>
        <v/>
      </c>
      <c r="U68" s="26">
        <f>IF(学校マスタ!$A66="","",IF(AND(学校マスタ!$U66&lt;&gt;"",学校マスタ!$U66&gt;=U$3,学校マスタ!$U66&lt;U$3+7),"◎",IF(OR(AND(学校マスタ!$H66&lt;&gt;"",学校マスタ!$H66&gt;=U$3,学校マスタ!$H66&lt;U$3+7),AND(学校マスタ!$J66&lt;&gt;"",学校マスタ!$J66&gt;=U$3,学校マスタ!$J66&lt;U$3+7),AND(学校マスタ!$L66&lt;&gt;"",学校マスタ!$L66&gt;=U$3,学校マスタ!$L66&lt;U$3+7)),"◆",IF(AND(学校マスタ!$O66&lt;&gt;"",学校マスタ!$P66&lt;&gt;"",学校マスタ!$O66&lt;U$3+7,学校マスタ!$P66&gt;=U$3),"█",IF(AND(学校マスタ!$R66&lt;&gt;"",学校マスタ!$U66&lt;&gt;"",学校マスタ!$R66&lt;U$3+7,学校マスタ!$U66&gt;=U$3),"▒","")))))</f>
        <v/>
      </c>
      <c r="V68" s="26">
        <f>IF(学校マスタ!$A66="","",IF(AND(学校マスタ!$U66&lt;&gt;"",学校マスタ!$U66&gt;=V$3,学校マスタ!$U66&lt;V$3+7),"◎",IF(OR(AND(学校マスタ!$H66&lt;&gt;"",学校マスタ!$H66&gt;=V$3,学校マスタ!$H66&lt;V$3+7),AND(学校マスタ!$J66&lt;&gt;"",学校マスタ!$J66&gt;=V$3,学校マスタ!$J66&lt;V$3+7),AND(学校マスタ!$L66&lt;&gt;"",学校マスタ!$L66&gt;=V$3,学校マスタ!$L66&lt;V$3+7)),"◆",IF(AND(学校マスタ!$O66&lt;&gt;"",学校マスタ!$P66&lt;&gt;"",学校マスタ!$O66&lt;V$3+7,学校マスタ!$P66&gt;=V$3),"█",IF(AND(学校マスタ!$R66&lt;&gt;"",学校マスタ!$U66&lt;&gt;"",学校マスタ!$R66&lt;V$3+7,学校マスタ!$U66&gt;=V$3),"▒","")))))</f>
        <v/>
      </c>
      <c r="W68" s="26">
        <f>IF(学校マスタ!$A66="","",IF(AND(学校マスタ!$U66&lt;&gt;"",学校マスタ!$U66&gt;=W$3,学校マスタ!$U66&lt;W$3+7),"◎",IF(OR(AND(学校マスタ!$H66&lt;&gt;"",学校マスタ!$H66&gt;=W$3,学校マスタ!$H66&lt;W$3+7),AND(学校マスタ!$J66&lt;&gt;"",学校マスタ!$J66&gt;=W$3,学校マスタ!$J66&lt;W$3+7),AND(学校マスタ!$L66&lt;&gt;"",学校マスタ!$L66&gt;=W$3,学校マスタ!$L66&lt;W$3+7)),"◆",IF(AND(学校マスタ!$O66&lt;&gt;"",学校マスタ!$P66&lt;&gt;"",学校マスタ!$O66&lt;W$3+7,学校マスタ!$P66&gt;=W$3),"█",IF(AND(学校マスタ!$R66&lt;&gt;"",学校マスタ!$U66&lt;&gt;"",学校マスタ!$R66&lt;W$3+7,学校マスタ!$U66&gt;=W$3),"▒","")))))</f>
        <v/>
      </c>
      <c r="X68" s="26">
        <f>IF(学校マスタ!$A66="","",IF(AND(学校マスタ!$U66&lt;&gt;"",学校マスタ!$U66&gt;=X$3,学校マスタ!$U66&lt;X$3+7),"◎",IF(OR(AND(学校マスタ!$H66&lt;&gt;"",学校マスタ!$H66&gt;=X$3,学校マスタ!$H66&lt;X$3+7),AND(学校マスタ!$J66&lt;&gt;"",学校マスタ!$J66&gt;=X$3,学校マスタ!$J66&lt;X$3+7),AND(学校マスタ!$L66&lt;&gt;"",学校マスタ!$L66&gt;=X$3,学校マスタ!$L66&lt;X$3+7)),"◆",IF(AND(学校マスタ!$O66&lt;&gt;"",学校マスタ!$P66&lt;&gt;"",学校マスタ!$O66&lt;X$3+7,学校マスタ!$P66&gt;=X$3),"█",IF(AND(学校マスタ!$R66&lt;&gt;"",学校マスタ!$U66&lt;&gt;"",学校マスタ!$R66&lt;X$3+7,学校マスタ!$U66&gt;=X$3),"▒","")))))</f>
        <v/>
      </c>
      <c r="Y68" s="26">
        <f>IF(学校マスタ!$A66="","",IF(AND(学校マスタ!$U66&lt;&gt;"",学校マスタ!$U66&gt;=Y$3,学校マスタ!$U66&lt;Y$3+7),"◎",IF(OR(AND(学校マスタ!$H66&lt;&gt;"",学校マスタ!$H66&gt;=Y$3,学校マスタ!$H66&lt;Y$3+7),AND(学校マスタ!$J66&lt;&gt;"",学校マスタ!$J66&gt;=Y$3,学校マスタ!$J66&lt;Y$3+7),AND(学校マスタ!$L66&lt;&gt;"",学校マスタ!$L66&gt;=Y$3,学校マスタ!$L66&lt;Y$3+7)),"◆",IF(AND(学校マスタ!$O66&lt;&gt;"",学校マスタ!$P66&lt;&gt;"",学校マスタ!$O66&lt;Y$3+7,学校マスタ!$P66&gt;=Y$3),"█",IF(AND(学校マスタ!$R66&lt;&gt;"",学校マスタ!$U66&lt;&gt;"",学校マスタ!$R66&lt;Y$3+7,学校マスタ!$U66&gt;=Y$3),"▒","")))))</f>
        <v/>
      </c>
      <c r="Z68" s="26">
        <f>IF(学校マスタ!$A66="","",IF(AND(学校マスタ!$U66&lt;&gt;"",学校マスタ!$U66&gt;=Z$3,学校マスタ!$U66&lt;Z$3+7),"◎",IF(OR(AND(学校マスタ!$H66&lt;&gt;"",学校マスタ!$H66&gt;=Z$3,学校マスタ!$H66&lt;Z$3+7),AND(学校マスタ!$J66&lt;&gt;"",学校マスタ!$J66&gt;=Z$3,学校マスタ!$J66&lt;Z$3+7),AND(学校マスタ!$L66&lt;&gt;"",学校マスタ!$L66&gt;=Z$3,学校マスタ!$L66&lt;Z$3+7)),"◆",IF(AND(学校マスタ!$O66&lt;&gt;"",学校マスタ!$P66&lt;&gt;"",学校マスタ!$O66&lt;Z$3+7,学校マスタ!$P66&gt;=Z$3),"█",IF(AND(学校マスタ!$R66&lt;&gt;"",学校マスタ!$U66&lt;&gt;"",学校マスタ!$R66&lt;Z$3+7,学校マスタ!$U66&gt;=Z$3),"▒","")))))</f>
        <v/>
      </c>
      <c r="AA68" s="26">
        <f>IF(学校マスタ!$A66="","",IF(AND(学校マスタ!$U66&lt;&gt;"",学校マスタ!$U66&gt;=AA$3,学校マスタ!$U66&lt;AA$3+7),"◎",IF(OR(AND(学校マスタ!$H66&lt;&gt;"",学校マスタ!$H66&gt;=AA$3,学校マスタ!$H66&lt;AA$3+7),AND(学校マスタ!$J66&lt;&gt;"",学校マスタ!$J66&gt;=AA$3,学校マスタ!$J66&lt;AA$3+7),AND(学校マスタ!$L66&lt;&gt;"",学校マスタ!$L66&gt;=AA$3,学校マスタ!$L66&lt;AA$3+7)),"◆",IF(AND(学校マスタ!$O66&lt;&gt;"",学校マスタ!$P66&lt;&gt;"",学校マスタ!$O66&lt;AA$3+7,学校マスタ!$P66&gt;=AA$3),"█",IF(AND(学校マスタ!$R66&lt;&gt;"",学校マスタ!$U66&lt;&gt;"",学校マスタ!$R66&lt;AA$3+7,学校マスタ!$U66&gt;=AA$3),"▒","")))))</f>
        <v/>
      </c>
      <c r="AB68" s="26">
        <f>IF(学校マスタ!$A66="","",IF(AND(学校マスタ!$U66&lt;&gt;"",学校マスタ!$U66&gt;=AB$3,学校マスタ!$U66&lt;AB$3+7),"◎",IF(OR(AND(学校マスタ!$H66&lt;&gt;"",学校マスタ!$H66&gt;=AB$3,学校マスタ!$H66&lt;AB$3+7),AND(学校マスタ!$J66&lt;&gt;"",学校マスタ!$J66&gt;=AB$3,学校マスタ!$J66&lt;AB$3+7),AND(学校マスタ!$L66&lt;&gt;"",学校マスタ!$L66&gt;=AB$3,学校マスタ!$L66&lt;AB$3+7)),"◆",IF(AND(学校マスタ!$O66&lt;&gt;"",学校マスタ!$P66&lt;&gt;"",学校マスタ!$O66&lt;AB$3+7,学校マスタ!$P66&gt;=AB$3),"█",IF(AND(学校マスタ!$R66&lt;&gt;"",学校マスタ!$U66&lt;&gt;"",学校マスタ!$R66&lt;AB$3+7,学校マスタ!$U66&gt;=AB$3),"▒","")))))</f>
        <v/>
      </c>
    </row>
    <row r="69">
      <c r="A69" s="19">
        <f>IF(学校マスタ!$A67="","",学校マスタ!$A67)</f>
        <v/>
      </c>
      <c r="B69" s="19">
        <f>IF(学校マスタ!$A67="","",学校マスタ!$C67)</f>
        <v/>
      </c>
      <c r="C69" s="19">
        <f>IF(学校マスタ!$A67="","",学校マスタ!$X67)</f>
        <v/>
      </c>
      <c r="D69" s="25">
        <f>IF(学校マスタ!$A67="","",学校マスタ!$R67)</f>
        <v/>
      </c>
      <c r="E69" s="26">
        <f>IF(学校マスタ!$A67="","",IF(AND(学校マスタ!$U67&lt;&gt;"",学校マスタ!$U67&gt;=E$3,学校マスタ!$U67&lt;E$3+7),"◎",IF(OR(AND(学校マスタ!$H67&lt;&gt;"",学校マスタ!$H67&gt;=E$3,学校マスタ!$H67&lt;E$3+7),AND(学校マスタ!$J67&lt;&gt;"",学校マスタ!$J67&gt;=E$3,学校マスタ!$J67&lt;E$3+7),AND(学校マスタ!$L67&lt;&gt;"",学校マスタ!$L67&gt;=E$3,学校マスタ!$L67&lt;E$3+7)),"◆",IF(AND(学校マスタ!$O67&lt;&gt;"",学校マスタ!$P67&lt;&gt;"",学校マスタ!$O67&lt;E$3+7,学校マスタ!$P67&gt;=E$3),"█",IF(AND(学校マスタ!$R67&lt;&gt;"",学校マスタ!$U67&lt;&gt;"",学校マスタ!$R67&lt;E$3+7,学校マスタ!$U67&gt;=E$3),"▒","")))))</f>
        <v/>
      </c>
      <c r="F69" s="26">
        <f>IF(学校マスタ!$A67="","",IF(AND(学校マスタ!$U67&lt;&gt;"",学校マスタ!$U67&gt;=F$3,学校マスタ!$U67&lt;F$3+7),"◎",IF(OR(AND(学校マスタ!$H67&lt;&gt;"",学校マスタ!$H67&gt;=F$3,学校マスタ!$H67&lt;F$3+7),AND(学校マスタ!$J67&lt;&gt;"",学校マスタ!$J67&gt;=F$3,学校マスタ!$J67&lt;F$3+7),AND(学校マスタ!$L67&lt;&gt;"",学校マスタ!$L67&gt;=F$3,学校マスタ!$L67&lt;F$3+7)),"◆",IF(AND(学校マスタ!$O67&lt;&gt;"",学校マスタ!$P67&lt;&gt;"",学校マスタ!$O67&lt;F$3+7,学校マスタ!$P67&gt;=F$3),"█",IF(AND(学校マスタ!$R67&lt;&gt;"",学校マスタ!$U67&lt;&gt;"",学校マスタ!$R67&lt;F$3+7,学校マスタ!$U67&gt;=F$3),"▒","")))))</f>
        <v/>
      </c>
      <c r="G69" s="26">
        <f>IF(学校マスタ!$A67="","",IF(AND(学校マスタ!$U67&lt;&gt;"",学校マスタ!$U67&gt;=G$3,学校マスタ!$U67&lt;G$3+7),"◎",IF(OR(AND(学校マスタ!$H67&lt;&gt;"",学校マスタ!$H67&gt;=G$3,学校マスタ!$H67&lt;G$3+7),AND(学校マスタ!$J67&lt;&gt;"",学校マスタ!$J67&gt;=G$3,学校マスタ!$J67&lt;G$3+7),AND(学校マスタ!$L67&lt;&gt;"",学校マスタ!$L67&gt;=G$3,学校マスタ!$L67&lt;G$3+7)),"◆",IF(AND(学校マスタ!$O67&lt;&gt;"",学校マスタ!$P67&lt;&gt;"",学校マスタ!$O67&lt;G$3+7,学校マスタ!$P67&gt;=G$3),"█",IF(AND(学校マスタ!$R67&lt;&gt;"",学校マスタ!$U67&lt;&gt;"",学校マスタ!$R67&lt;G$3+7,学校マスタ!$U67&gt;=G$3),"▒","")))))</f>
        <v/>
      </c>
      <c r="H69" s="26">
        <f>IF(学校マスタ!$A67="","",IF(AND(学校マスタ!$U67&lt;&gt;"",学校マスタ!$U67&gt;=H$3,学校マスタ!$U67&lt;H$3+7),"◎",IF(OR(AND(学校マスタ!$H67&lt;&gt;"",学校マスタ!$H67&gt;=H$3,学校マスタ!$H67&lt;H$3+7),AND(学校マスタ!$J67&lt;&gt;"",学校マスタ!$J67&gt;=H$3,学校マスタ!$J67&lt;H$3+7),AND(学校マスタ!$L67&lt;&gt;"",学校マスタ!$L67&gt;=H$3,学校マスタ!$L67&lt;H$3+7)),"◆",IF(AND(学校マスタ!$O67&lt;&gt;"",学校マスタ!$P67&lt;&gt;"",学校マスタ!$O67&lt;H$3+7,学校マスタ!$P67&gt;=H$3),"█",IF(AND(学校マスタ!$R67&lt;&gt;"",学校マスタ!$U67&lt;&gt;"",学校マスタ!$R67&lt;H$3+7,学校マスタ!$U67&gt;=H$3),"▒","")))))</f>
        <v/>
      </c>
      <c r="I69" s="26">
        <f>IF(学校マスタ!$A67="","",IF(AND(学校マスタ!$U67&lt;&gt;"",学校マスタ!$U67&gt;=I$3,学校マスタ!$U67&lt;I$3+7),"◎",IF(OR(AND(学校マスタ!$H67&lt;&gt;"",学校マスタ!$H67&gt;=I$3,学校マスタ!$H67&lt;I$3+7),AND(学校マスタ!$J67&lt;&gt;"",学校マスタ!$J67&gt;=I$3,学校マスタ!$J67&lt;I$3+7),AND(学校マスタ!$L67&lt;&gt;"",学校マスタ!$L67&gt;=I$3,学校マスタ!$L67&lt;I$3+7)),"◆",IF(AND(学校マスタ!$O67&lt;&gt;"",学校マスタ!$P67&lt;&gt;"",学校マスタ!$O67&lt;I$3+7,学校マスタ!$P67&gt;=I$3),"█",IF(AND(学校マスタ!$R67&lt;&gt;"",学校マスタ!$U67&lt;&gt;"",学校マスタ!$R67&lt;I$3+7,学校マスタ!$U67&gt;=I$3),"▒","")))))</f>
        <v/>
      </c>
      <c r="J69" s="26">
        <f>IF(学校マスタ!$A67="","",IF(AND(学校マスタ!$U67&lt;&gt;"",学校マスタ!$U67&gt;=J$3,学校マスタ!$U67&lt;J$3+7),"◎",IF(OR(AND(学校マスタ!$H67&lt;&gt;"",学校マスタ!$H67&gt;=J$3,学校マスタ!$H67&lt;J$3+7),AND(学校マスタ!$J67&lt;&gt;"",学校マスタ!$J67&gt;=J$3,学校マスタ!$J67&lt;J$3+7),AND(学校マスタ!$L67&lt;&gt;"",学校マスタ!$L67&gt;=J$3,学校マスタ!$L67&lt;J$3+7)),"◆",IF(AND(学校マスタ!$O67&lt;&gt;"",学校マスタ!$P67&lt;&gt;"",学校マスタ!$O67&lt;J$3+7,学校マスタ!$P67&gt;=J$3),"█",IF(AND(学校マスタ!$R67&lt;&gt;"",学校マスタ!$U67&lt;&gt;"",学校マスタ!$R67&lt;J$3+7,学校マスタ!$U67&gt;=J$3),"▒","")))))</f>
        <v/>
      </c>
      <c r="K69" s="26">
        <f>IF(学校マスタ!$A67="","",IF(AND(学校マスタ!$U67&lt;&gt;"",学校マスタ!$U67&gt;=K$3,学校マスタ!$U67&lt;K$3+7),"◎",IF(OR(AND(学校マスタ!$H67&lt;&gt;"",学校マスタ!$H67&gt;=K$3,学校マスタ!$H67&lt;K$3+7),AND(学校マスタ!$J67&lt;&gt;"",学校マスタ!$J67&gt;=K$3,学校マスタ!$J67&lt;K$3+7),AND(学校マスタ!$L67&lt;&gt;"",学校マスタ!$L67&gt;=K$3,学校マスタ!$L67&lt;K$3+7)),"◆",IF(AND(学校マスタ!$O67&lt;&gt;"",学校マスタ!$P67&lt;&gt;"",学校マスタ!$O67&lt;K$3+7,学校マスタ!$P67&gt;=K$3),"█",IF(AND(学校マスタ!$R67&lt;&gt;"",学校マスタ!$U67&lt;&gt;"",学校マスタ!$R67&lt;K$3+7,学校マスタ!$U67&gt;=K$3),"▒","")))))</f>
        <v/>
      </c>
      <c r="L69" s="26">
        <f>IF(学校マスタ!$A67="","",IF(AND(学校マスタ!$U67&lt;&gt;"",学校マスタ!$U67&gt;=L$3,学校マスタ!$U67&lt;L$3+7),"◎",IF(OR(AND(学校マスタ!$H67&lt;&gt;"",学校マスタ!$H67&gt;=L$3,学校マスタ!$H67&lt;L$3+7),AND(学校マスタ!$J67&lt;&gt;"",学校マスタ!$J67&gt;=L$3,学校マスタ!$J67&lt;L$3+7),AND(学校マスタ!$L67&lt;&gt;"",学校マスタ!$L67&gt;=L$3,学校マスタ!$L67&lt;L$3+7)),"◆",IF(AND(学校マスタ!$O67&lt;&gt;"",学校マスタ!$P67&lt;&gt;"",学校マスタ!$O67&lt;L$3+7,学校マスタ!$P67&gt;=L$3),"█",IF(AND(学校マスタ!$R67&lt;&gt;"",学校マスタ!$U67&lt;&gt;"",学校マスタ!$R67&lt;L$3+7,学校マスタ!$U67&gt;=L$3),"▒","")))))</f>
        <v/>
      </c>
      <c r="M69" s="26">
        <f>IF(学校マスタ!$A67="","",IF(AND(学校マスタ!$U67&lt;&gt;"",学校マスタ!$U67&gt;=M$3,学校マスタ!$U67&lt;M$3+7),"◎",IF(OR(AND(学校マスタ!$H67&lt;&gt;"",学校マスタ!$H67&gt;=M$3,学校マスタ!$H67&lt;M$3+7),AND(学校マスタ!$J67&lt;&gt;"",学校マスタ!$J67&gt;=M$3,学校マスタ!$J67&lt;M$3+7),AND(学校マスタ!$L67&lt;&gt;"",学校マスタ!$L67&gt;=M$3,学校マスタ!$L67&lt;M$3+7)),"◆",IF(AND(学校マスタ!$O67&lt;&gt;"",学校マスタ!$P67&lt;&gt;"",学校マスタ!$O67&lt;M$3+7,学校マスタ!$P67&gt;=M$3),"█",IF(AND(学校マスタ!$R67&lt;&gt;"",学校マスタ!$U67&lt;&gt;"",学校マスタ!$R67&lt;M$3+7,学校マスタ!$U67&gt;=M$3),"▒","")))))</f>
        <v/>
      </c>
      <c r="N69" s="26">
        <f>IF(学校マスタ!$A67="","",IF(AND(学校マスタ!$U67&lt;&gt;"",学校マスタ!$U67&gt;=N$3,学校マスタ!$U67&lt;N$3+7),"◎",IF(OR(AND(学校マスタ!$H67&lt;&gt;"",学校マスタ!$H67&gt;=N$3,学校マスタ!$H67&lt;N$3+7),AND(学校マスタ!$J67&lt;&gt;"",学校マスタ!$J67&gt;=N$3,学校マスタ!$J67&lt;N$3+7),AND(学校マスタ!$L67&lt;&gt;"",学校マスタ!$L67&gt;=N$3,学校マスタ!$L67&lt;N$3+7)),"◆",IF(AND(学校マスタ!$O67&lt;&gt;"",学校マスタ!$P67&lt;&gt;"",学校マスタ!$O67&lt;N$3+7,学校マスタ!$P67&gt;=N$3),"█",IF(AND(学校マスタ!$R67&lt;&gt;"",学校マスタ!$U67&lt;&gt;"",学校マスタ!$R67&lt;N$3+7,学校マスタ!$U67&gt;=N$3),"▒","")))))</f>
        <v/>
      </c>
      <c r="O69" s="26">
        <f>IF(学校マスタ!$A67="","",IF(AND(学校マスタ!$U67&lt;&gt;"",学校マスタ!$U67&gt;=O$3,学校マスタ!$U67&lt;O$3+7),"◎",IF(OR(AND(学校マスタ!$H67&lt;&gt;"",学校マスタ!$H67&gt;=O$3,学校マスタ!$H67&lt;O$3+7),AND(学校マスタ!$J67&lt;&gt;"",学校マスタ!$J67&gt;=O$3,学校マスタ!$J67&lt;O$3+7),AND(学校マスタ!$L67&lt;&gt;"",学校マスタ!$L67&gt;=O$3,学校マスタ!$L67&lt;O$3+7)),"◆",IF(AND(学校マスタ!$O67&lt;&gt;"",学校マスタ!$P67&lt;&gt;"",学校マスタ!$O67&lt;O$3+7,学校マスタ!$P67&gt;=O$3),"█",IF(AND(学校マスタ!$R67&lt;&gt;"",学校マスタ!$U67&lt;&gt;"",学校マスタ!$R67&lt;O$3+7,学校マスタ!$U67&gt;=O$3),"▒","")))))</f>
        <v/>
      </c>
      <c r="P69" s="26">
        <f>IF(学校マスタ!$A67="","",IF(AND(学校マスタ!$U67&lt;&gt;"",学校マスタ!$U67&gt;=P$3,学校マスタ!$U67&lt;P$3+7),"◎",IF(OR(AND(学校マスタ!$H67&lt;&gt;"",学校マスタ!$H67&gt;=P$3,学校マスタ!$H67&lt;P$3+7),AND(学校マスタ!$J67&lt;&gt;"",学校マスタ!$J67&gt;=P$3,学校マスタ!$J67&lt;P$3+7),AND(学校マスタ!$L67&lt;&gt;"",学校マスタ!$L67&gt;=P$3,学校マスタ!$L67&lt;P$3+7)),"◆",IF(AND(学校マスタ!$O67&lt;&gt;"",学校マスタ!$P67&lt;&gt;"",学校マスタ!$O67&lt;P$3+7,学校マスタ!$P67&gt;=P$3),"█",IF(AND(学校マスタ!$R67&lt;&gt;"",学校マスタ!$U67&lt;&gt;"",学校マスタ!$R67&lt;P$3+7,学校マスタ!$U67&gt;=P$3),"▒","")))))</f>
        <v/>
      </c>
      <c r="Q69" s="26">
        <f>IF(学校マスタ!$A67="","",IF(AND(学校マスタ!$U67&lt;&gt;"",学校マスタ!$U67&gt;=Q$3,学校マスタ!$U67&lt;Q$3+7),"◎",IF(OR(AND(学校マスタ!$H67&lt;&gt;"",学校マスタ!$H67&gt;=Q$3,学校マスタ!$H67&lt;Q$3+7),AND(学校マスタ!$J67&lt;&gt;"",学校マスタ!$J67&gt;=Q$3,学校マスタ!$J67&lt;Q$3+7),AND(学校マスタ!$L67&lt;&gt;"",学校マスタ!$L67&gt;=Q$3,学校マスタ!$L67&lt;Q$3+7)),"◆",IF(AND(学校マスタ!$O67&lt;&gt;"",学校マスタ!$P67&lt;&gt;"",学校マスタ!$O67&lt;Q$3+7,学校マスタ!$P67&gt;=Q$3),"█",IF(AND(学校マスタ!$R67&lt;&gt;"",学校マスタ!$U67&lt;&gt;"",学校マスタ!$R67&lt;Q$3+7,学校マスタ!$U67&gt;=Q$3),"▒","")))))</f>
        <v/>
      </c>
      <c r="R69" s="26">
        <f>IF(学校マスタ!$A67="","",IF(AND(学校マスタ!$U67&lt;&gt;"",学校マスタ!$U67&gt;=R$3,学校マスタ!$U67&lt;R$3+7),"◎",IF(OR(AND(学校マスタ!$H67&lt;&gt;"",学校マスタ!$H67&gt;=R$3,学校マスタ!$H67&lt;R$3+7),AND(学校マスタ!$J67&lt;&gt;"",学校マスタ!$J67&gt;=R$3,学校マスタ!$J67&lt;R$3+7),AND(学校マスタ!$L67&lt;&gt;"",学校マスタ!$L67&gt;=R$3,学校マスタ!$L67&lt;R$3+7)),"◆",IF(AND(学校マスタ!$O67&lt;&gt;"",学校マスタ!$P67&lt;&gt;"",学校マスタ!$O67&lt;R$3+7,学校マスタ!$P67&gt;=R$3),"█",IF(AND(学校マスタ!$R67&lt;&gt;"",学校マスタ!$U67&lt;&gt;"",学校マスタ!$R67&lt;R$3+7,学校マスタ!$U67&gt;=R$3),"▒","")))))</f>
        <v/>
      </c>
      <c r="S69" s="26">
        <f>IF(学校マスタ!$A67="","",IF(AND(学校マスタ!$U67&lt;&gt;"",学校マスタ!$U67&gt;=S$3,学校マスタ!$U67&lt;S$3+7),"◎",IF(OR(AND(学校マスタ!$H67&lt;&gt;"",学校マスタ!$H67&gt;=S$3,学校マスタ!$H67&lt;S$3+7),AND(学校マスタ!$J67&lt;&gt;"",学校マスタ!$J67&gt;=S$3,学校マスタ!$J67&lt;S$3+7),AND(学校マスタ!$L67&lt;&gt;"",学校マスタ!$L67&gt;=S$3,学校マスタ!$L67&lt;S$3+7)),"◆",IF(AND(学校マスタ!$O67&lt;&gt;"",学校マスタ!$P67&lt;&gt;"",学校マスタ!$O67&lt;S$3+7,学校マスタ!$P67&gt;=S$3),"█",IF(AND(学校マスタ!$R67&lt;&gt;"",学校マスタ!$U67&lt;&gt;"",学校マスタ!$R67&lt;S$3+7,学校マスタ!$U67&gt;=S$3),"▒","")))))</f>
        <v/>
      </c>
      <c r="T69" s="26">
        <f>IF(学校マスタ!$A67="","",IF(AND(学校マスタ!$U67&lt;&gt;"",学校マスタ!$U67&gt;=T$3,学校マスタ!$U67&lt;T$3+7),"◎",IF(OR(AND(学校マスタ!$H67&lt;&gt;"",学校マスタ!$H67&gt;=T$3,学校マスタ!$H67&lt;T$3+7),AND(学校マスタ!$J67&lt;&gt;"",学校マスタ!$J67&gt;=T$3,学校マスタ!$J67&lt;T$3+7),AND(学校マスタ!$L67&lt;&gt;"",学校マスタ!$L67&gt;=T$3,学校マスタ!$L67&lt;T$3+7)),"◆",IF(AND(学校マスタ!$O67&lt;&gt;"",学校マスタ!$P67&lt;&gt;"",学校マスタ!$O67&lt;T$3+7,学校マスタ!$P67&gt;=T$3),"█",IF(AND(学校マスタ!$R67&lt;&gt;"",学校マスタ!$U67&lt;&gt;"",学校マスタ!$R67&lt;T$3+7,学校マスタ!$U67&gt;=T$3),"▒","")))))</f>
        <v/>
      </c>
      <c r="U69" s="26">
        <f>IF(学校マスタ!$A67="","",IF(AND(学校マスタ!$U67&lt;&gt;"",学校マスタ!$U67&gt;=U$3,学校マスタ!$U67&lt;U$3+7),"◎",IF(OR(AND(学校マスタ!$H67&lt;&gt;"",学校マスタ!$H67&gt;=U$3,学校マスタ!$H67&lt;U$3+7),AND(学校マスタ!$J67&lt;&gt;"",学校マスタ!$J67&gt;=U$3,学校マスタ!$J67&lt;U$3+7),AND(学校マスタ!$L67&lt;&gt;"",学校マスタ!$L67&gt;=U$3,学校マスタ!$L67&lt;U$3+7)),"◆",IF(AND(学校マスタ!$O67&lt;&gt;"",学校マスタ!$P67&lt;&gt;"",学校マスタ!$O67&lt;U$3+7,学校マスタ!$P67&gt;=U$3),"█",IF(AND(学校マスタ!$R67&lt;&gt;"",学校マスタ!$U67&lt;&gt;"",学校マスタ!$R67&lt;U$3+7,学校マスタ!$U67&gt;=U$3),"▒","")))))</f>
        <v/>
      </c>
      <c r="V69" s="26">
        <f>IF(学校マスタ!$A67="","",IF(AND(学校マスタ!$U67&lt;&gt;"",学校マスタ!$U67&gt;=V$3,学校マスタ!$U67&lt;V$3+7),"◎",IF(OR(AND(学校マスタ!$H67&lt;&gt;"",学校マスタ!$H67&gt;=V$3,学校マスタ!$H67&lt;V$3+7),AND(学校マスタ!$J67&lt;&gt;"",学校マスタ!$J67&gt;=V$3,学校マスタ!$J67&lt;V$3+7),AND(学校マスタ!$L67&lt;&gt;"",学校マスタ!$L67&gt;=V$3,学校マスタ!$L67&lt;V$3+7)),"◆",IF(AND(学校マスタ!$O67&lt;&gt;"",学校マスタ!$P67&lt;&gt;"",学校マスタ!$O67&lt;V$3+7,学校マスタ!$P67&gt;=V$3),"█",IF(AND(学校マスタ!$R67&lt;&gt;"",学校マスタ!$U67&lt;&gt;"",学校マスタ!$R67&lt;V$3+7,学校マスタ!$U67&gt;=V$3),"▒","")))))</f>
        <v/>
      </c>
      <c r="W69" s="26">
        <f>IF(学校マスタ!$A67="","",IF(AND(学校マスタ!$U67&lt;&gt;"",学校マスタ!$U67&gt;=W$3,学校マスタ!$U67&lt;W$3+7),"◎",IF(OR(AND(学校マスタ!$H67&lt;&gt;"",学校マスタ!$H67&gt;=W$3,学校マスタ!$H67&lt;W$3+7),AND(学校マスタ!$J67&lt;&gt;"",学校マスタ!$J67&gt;=W$3,学校マスタ!$J67&lt;W$3+7),AND(学校マスタ!$L67&lt;&gt;"",学校マスタ!$L67&gt;=W$3,学校マスタ!$L67&lt;W$3+7)),"◆",IF(AND(学校マスタ!$O67&lt;&gt;"",学校マスタ!$P67&lt;&gt;"",学校マスタ!$O67&lt;W$3+7,学校マスタ!$P67&gt;=W$3),"█",IF(AND(学校マスタ!$R67&lt;&gt;"",学校マスタ!$U67&lt;&gt;"",学校マスタ!$R67&lt;W$3+7,学校マスタ!$U67&gt;=W$3),"▒","")))))</f>
        <v/>
      </c>
      <c r="X69" s="26">
        <f>IF(学校マスタ!$A67="","",IF(AND(学校マスタ!$U67&lt;&gt;"",学校マスタ!$U67&gt;=X$3,学校マスタ!$U67&lt;X$3+7),"◎",IF(OR(AND(学校マスタ!$H67&lt;&gt;"",学校マスタ!$H67&gt;=X$3,学校マスタ!$H67&lt;X$3+7),AND(学校マスタ!$J67&lt;&gt;"",学校マスタ!$J67&gt;=X$3,学校マスタ!$J67&lt;X$3+7),AND(学校マスタ!$L67&lt;&gt;"",学校マスタ!$L67&gt;=X$3,学校マスタ!$L67&lt;X$3+7)),"◆",IF(AND(学校マスタ!$O67&lt;&gt;"",学校マスタ!$P67&lt;&gt;"",学校マスタ!$O67&lt;X$3+7,学校マスタ!$P67&gt;=X$3),"█",IF(AND(学校マスタ!$R67&lt;&gt;"",学校マスタ!$U67&lt;&gt;"",学校マスタ!$R67&lt;X$3+7,学校マスタ!$U67&gt;=X$3),"▒","")))))</f>
        <v/>
      </c>
      <c r="Y69" s="26">
        <f>IF(学校マスタ!$A67="","",IF(AND(学校マスタ!$U67&lt;&gt;"",学校マスタ!$U67&gt;=Y$3,学校マスタ!$U67&lt;Y$3+7),"◎",IF(OR(AND(学校マスタ!$H67&lt;&gt;"",学校マスタ!$H67&gt;=Y$3,学校マスタ!$H67&lt;Y$3+7),AND(学校マスタ!$J67&lt;&gt;"",学校マスタ!$J67&gt;=Y$3,学校マスタ!$J67&lt;Y$3+7),AND(学校マスタ!$L67&lt;&gt;"",学校マスタ!$L67&gt;=Y$3,学校マスタ!$L67&lt;Y$3+7)),"◆",IF(AND(学校マスタ!$O67&lt;&gt;"",学校マスタ!$P67&lt;&gt;"",学校マスタ!$O67&lt;Y$3+7,学校マスタ!$P67&gt;=Y$3),"█",IF(AND(学校マスタ!$R67&lt;&gt;"",学校マスタ!$U67&lt;&gt;"",学校マスタ!$R67&lt;Y$3+7,学校マスタ!$U67&gt;=Y$3),"▒","")))))</f>
        <v/>
      </c>
      <c r="Z69" s="26">
        <f>IF(学校マスタ!$A67="","",IF(AND(学校マスタ!$U67&lt;&gt;"",学校マスタ!$U67&gt;=Z$3,学校マスタ!$U67&lt;Z$3+7),"◎",IF(OR(AND(学校マスタ!$H67&lt;&gt;"",学校マスタ!$H67&gt;=Z$3,学校マスタ!$H67&lt;Z$3+7),AND(学校マスタ!$J67&lt;&gt;"",学校マスタ!$J67&gt;=Z$3,学校マスタ!$J67&lt;Z$3+7),AND(学校マスタ!$L67&lt;&gt;"",学校マスタ!$L67&gt;=Z$3,学校マスタ!$L67&lt;Z$3+7)),"◆",IF(AND(学校マスタ!$O67&lt;&gt;"",学校マスタ!$P67&lt;&gt;"",学校マスタ!$O67&lt;Z$3+7,学校マスタ!$P67&gt;=Z$3),"█",IF(AND(学校マスタ!$R67&lt;&gt;"",学校マスタ!$U67&lt;&gt;"",学校マスタ!$R67&lt;Z$3+7,学校マスタ!$U67&gt;=Z$3),"▒","")))))</f>
        <v/>
      </c>
      <c r="AA69" s="26">
        <f>IF(学校マスタ!$A67="","",IF(AND(学校マスタ!$U67&lt;&gt;"",学校マスタ!$U67&gt;=AA$3,学校マスタ!$U67&lt;AA$3+7),"◎",IF(OR(AND(学校マスタ!$H67&lt;&gt;"",学校マスタ!$H67&gt;=AA$3,学校マスタ!$H67&lt;AA$3+7),AND(学校マスタ!$J67&lt;&gt;"",学校マスタ!$J67&gt;=AA$3,学校マスタ!$J67&lt;AA$3+7),AND(学校マスタ!$L67&lt;&gt;"",学校マスタ!$L67&gt;=AA$3,学校マスタ!$L67&lt;AA$3+7)),"◆",IF(AND(学校マスタ!$O67&lt;&gt;"",学校マスタ!$P67&lt;&gt;"",学校マスタ!$O67&lt;AA$3+7,学校マスタ!$P67&gt;=AA$3),"█",IF(AND(学校マスタ!$R67&lt;&gt;"",学校マスタ!$U67&lt;&gt;"",学校マスタ!$R67&lt;AA$3+7,学校マスタ!$U67&gt;=AA$3),"▒","")))))</f>
        <v/>
      </c>
      <c r="AB69" s="26">
        <f>IF(学校マスタ!$A67="","",IF(AND(学校マスタ!$U67&lt;&gt;"",学校マスタ!$U67&gt;=AB$3,学校マスタ!$U67&lt;AB$3+7),"◎",IF(OR(AND(学校マスタ!$H67&lt;&gt;"",学校マスタ!$H67&gt;=AB$3,学校マスタ!$H67&lt;AB$3+7),AND(学校マスタ!$J67&lt;&gt;"",学校マスタ!$J67&gt;=AB$3,学校マスタ!$J67&lt;AB$3+7),AND(学校マスタ!$L67&lt;&gt;"",学校マスタ!$L67&gt;=AB$3,学校マスタ!$L67&lt;AB$3+7)),"◆",IF(AND(学校マスタ!$O67&lt;&gt;"",学校マスタ!$P67&lt;&gt;"",学校マスタ!$O67&lt;AB$3+7,学校マスタ!$P67&gt;=AB$3),"█",IF(AND(学校マスタ!$R67&lt;&gt;"",学校マスタ!$U67&lt;&gt;"",学校マスタ!$R67&lt;AB$3+7,学校マスタ!$U67&gt;=AB$3),"▒","")))))</f>
        <v/>
      </c>
    </row>
    <row r="70">
      <c r="A70" s="19">
        <f>IF(学校マスタ!$A68="","",学校マスタ!$A68)</f>
        <v/>
      </c>
      <c r="B70" s="19">
        <f>IF(学校マスタ!$A68="","",学校マスタ!$C68)</f>
        <v/>
      </c>
      <c r="C70" s="19">
        <f>IF(学校マスタ!$A68="","",学校マスタ!$X68)</f>
        <v/>
      </c>
      <c r="D70" s="25">
        <f>IF(学校マスタ!$A68="","",学校マスタ!$R68)</f>
        <v/>
      </c>
      <c r="E70" s="26">
        <f>IF(学校マスタ!$A68="","",IF(AND(学校マスタ!$U68&lt;&gt;"",学校マスタ!$U68&gt;=E$3,学校マスタ!$U68&lt;E$3+7),"◎",IF(OR(AND(学校マスタ!$H68&lt;&gt;"",学校マスタ!$H68&gt;=E$3,学校マスタ!$H68&lt;E$3+7),AND(学校マスタ!$J68&lt;&gt;"",学校マスタ!$J68&gt;=E$3,学校マスタ!$J68&lt;E$3+7),AND(学校マスタ!$L68&lt;&gt;"",学校マスタ!$L68&gt;=E$3,学校マスタ!$L68&lt;E$3+7)),"◆",IF(AND(学校マスタ!$O68&lt;&gt;"",学校マスタ!$P68&lt;&gt;"",学校マスタ!$O68&lt;E$3+7,学校マスタ!$P68&gt;=E$3),"█",IF(AND(学校マスタ!$R68&lt;&gt;"",学校マスタ!$U68&lt;&gt;"",学校マスタ!$R68&lt;E$3+7,学校マスタ!$U68&gt;=E$3),"▒","")))))</f>
        <v/>
      </c>
      <c r="F70" s="26">
        <f>IF(学校マスタ!$A68="","",IF(AND(学校マスタ!$U68&lt;&gt;"",学校マスタ!$U68&gt;=F$3,学校マスタ!$U68&lt;F$3+7),"◎",IF(OR(AND(学校マスタ!$H68&lt;&gt;"",学校マスタ!$H68&gt;=F$3,学校マスタ!$H68&lt;F$3+7),AND(学校マスタ!$J68&lt;&gt;"",学校マスタ!$J68&gt;=F$3,学校マスタ!$J68&lt;F$3+7),AND(学校マスタ!$L68&lt;&gt;"",学校マスタ!$L68&gt;=F$3,学校マスタ!$L68&lt;F$3+7)),"◆",IF(AND(学校マスタ!$O68&lt;&gt;"",学校マスタ!$P68&lt;&gt;"",学校マスタ!$O68&lt;F$3+7,学校マスタ!$P68&gt;=F$3),"█",IF(AND(学校マスタ!$R68&lt;&gt;"",学校マスタ!$U68&lt;&gt;"",学校マスタ!$R68&lt;F$3+7,学校マスタ!$U68&gt;=F$3),"▒","")))))</f>
        <v/>
      </c>
      <c r="G70" s="26">
        <f>IF(学校マスタ!$A68="","",IF(AND(学校マスタ!$U68&lt;&gt;"",学校マスタ!$U68&gt;=G$3,学校マスタ!$U68&lt;G$3+7),"◎",IF(OR(AND(学校マスタ!$H68&lt;&gt;"",学校マスタ!$H68&gt;=G$3,学校マスタ!$H68&lt;G$3+7),AND(学校マスタ!$J68&lt;&gt;"",学校マスタ!$J68&gt;=G$3,学校マスタ!$J68&lt;G$3+7),AND(学校マスタ!$L68&lt;&gt;"",学校マスタ!$L68&gt;=G$3,学校マスタ!$L68&lt;G$3+7)),"◆",IF(AND(学校マスタ!$O68&lt;&gt;"",学校マスタ!$P68&lt;&gt;"",学校マスタ!$O68&lt;G$3+7,学校マスタ!$P68&gt;=G$3),"█",IF(AND(学校マスタ!$R68&lt;&gt;"",学校マスタ!$U68&lt;&gt;"",学校マスタ!$R68&lt;G$3+7,学校マスタ!$U68&gt;=G$3),"▒","")))))</f>
        <v/>
      </c>
      <c r="H70" s="26">
        <f>IF(学校マスタ!$A68="","",IF(AND(学校マスタ!$U68&lt;&gt;"",学校マスタ!$U68&gt;=H$3,学校マスタ!$U68&lt;H$3+7),"◎",IF(OR(AND(学校マスタ!$H68&lt;&gt;"",学校マスタ!$H68&gt;=H$3,学校マスタ!$H68&lt;H$3+7),AND(学校マスタ!$J68&lt;&gt;"",学校マスタ!$J68&gt;=H$3,学校マスタ!$J68&lt;H$3+7),AND(学校マスタ!$L68&lt;&gt;"",学校マスタ!$L68&gt;=H$3,学校マスタ!$L68&lt;H$3+7)),"◆",IF(AND(学校マスタ!$O68&lt;&gt;"",学校マスタ!$P68&lt;&gt;"",学校マスタ!$O68&lt;H$3+7,学校マスタ!$P68&gt;=H$3),"█",IF(AND(学校マスタ!$R68&lt;&gt;"",学校マスタ!$U68&lt;&gt;"",学校マスタ!$R68&lt;H$3+7,学校マスタ!$U68&gt;=H$3),"▒","")))))</f>
        <v/>
      </c>
      <c r="I70" s="26">
        <f>IF(学校マスタ!$A68="","",IF(AND(学校マスタ!$U68&lt;&gt;"",学校マスタ!$U68&gt;=I$3,学校マスタ!$U68&lt;I$3+7),"◎",IF(OR(AND(学校マスタ!$H68&lt;&gt;"",学校マスタ!$H68&gt;=I$3,学校マスタ!$H68&lt;I$3+7),AND(学校マスタ!$J68&lt;&gt;"",学校マスタ!$J68&gt;=I$3,学校マスタ!$J68&lt;I$3+7),AND(学校マスタ!$L68&lt;&gt;"",学校マスタ!$L68&gt;=I$3,学校マスタ!$L68&lt;I$3+7)),"◆",IF(AND(学校マスタ!$O68&lt;&gt;"",学校マスタ!$P68&lt;&gt;"",学校マスタ!$O68&lt;I$3+7,学校マスタ!$P68&gt;=I$3),"█",IF(AND(学校マスタ!$R68&lt;&gt;"",学校マスタ!$U68&lt;&gt;"",学校マスタ!$R68&lt;I$3+7,学校マスタ!$U68&gt;=I$3),"▒","")))))</f>
        <v/>
      </c>
      <c r="J70" s="26">
        <f>IF(学校マスタ!$A68="","",IF(AND(学校マスタ!$U68&lt;&gt;"",学校マスタ!$U68&gt;=J$3,学校マスタ!$U68&lt;J$3+7),"◎",IF(OR(AND(学校マスタ!$H68&lt;&gt;"",学校マスタ!$H68&gt;=J$3,学校マスタ!$H68&lt;J$3+7),AND(学校マスタ!$J68&lt;&gt;"",学校マスタ!$J68&gt;=J$3,学校マスタ!$J68&lt;J$3+7),AND(学校マスタ!$L68&lt;&gt;"",学校マスタ!$L68&gt;=J$3,学校マスタ!$L68&lt;J$3+7)),"◆",IF(AND(学校マスタ!$O68&lt;&gt;"",学校マスタ!$P68&lt;&gt;"",学校マスタ!$O68&lt;J$3+7,学校マスタ!$P68&gt;=J$3),"█",IF(AND(学校マスタ!$R68&lt;&gt;"",学校マスタ!$U68&lt;&gt;"",学校マスタ!$R68&lt;J$3+7,学校マスタ!$U68&gt;=J$3),"▒","")))))</f>
        <v/>
      </c>
      <c r="K70" s="26">
        <f>IF(学校マスタ!$A68="","",IF(AND(学校マスタ!$U68&lt;&gt;"",学校マスタ!$U68&gt;=K$3,学校マスタ!$U68&lt;K$3+7),"◎",IF(OR(AND(学校マスタ!$H68&lt;&gt;"",学校マスタ!$H68&gt;=K$3,学校マスタ!$H68&lt;K$3+7),AND(学校マスタ!$J68&lt;&gt;"",学校マスタ!$J68&gt;=K$3,学校マスタ!$J68&lt;K$3+7),AND(学校マスタ!$L68&lt;&gt;"",学校マスタ!$L68&gt;=K$3,学校マスタ!$L68&lt;K$3+7)),"◆",IF(AND(学校マスタ!$O68&lt;&gt;"",学校マスタ!$P68&lt;&gt;"",学校マスタ!$O68&lt;K$3+7,学校マスタ!$P68&gt;=K$3),"█",IF(AND(学校マスタ!$R68&lt;&gt;"",学校マスタ!$U68&lt;&gt;"",学校マスタ!$R68&lt;K$3+7,学校マスタ!$U68&gt;=K$3),"▒","")))))</f>
        <v/>
      </c>
      <c r="L70" s="26">
        <f>IF(学校マスタ!$A68="","",IF(AND(学校マスタ!$U68&lt;&gt;"",学校マスタ!$U68&gt;=L$3,学校マスタ!$U68&lt;L$3+7),"◎",IF(OR(AND(学校マスタ!$H68&lt;&gt;"",学校マスタ!$H68&gt;=L$3,学校マスタ!$H68&lt;L$3+7),AND(学校マスタ!$J68&lt;&gt;"",学校マスタ!$J68&gt;=L$3,学校マスタ!$J68&lt;L$3+7),AND(学校マスタ!$L68&lt;&gt;"",学校マスタ!$L68&gt;=L$3,学校マスタ!$L68&lt;L$3+7)),"◆",IF(AND(学校マスタ!$O68&lt;&gt;"",学校マスタ!$P68&lt;&gt;"",学校マスタ!$O68&lt;L$3+7,学校マスタ!$P68&gt;=L$3),"█",IF(AND(学校マスタ!$R68&lt;&gt;"",学校マスタ!$U68&lt;&gt;"",学校マスタ!$R68&lt;L$3+7,学校マスタ!$U68&gt;=L$3),"▒","")))))</f>
        <v/>
      </c>
      <c r="M70" s="26">
        <f>IF(学校マスタ!$A68="","",IF(AND(学校マスタ!$U68&lt;&gt;"",学校マスタ!$U68&gt;=M$3,学校マスタ!$U68&lt;M$3+7),"◎",IF(OR(AND(学校マスタ!$H68&lt;&gt;"",学校マスタ!$H68&gt;=M$3,学校マスタ!$H68&lt;M$3+7),AND(学校マスタ!$J68&lt;&gt;"",学校マスタ!$J68&gt;=M$3,学校マスタ!$J68&lt;M$3+7),AND(学校マスタ!$L68&lt;&gt;"",学校マスタ!$L68&gt;=M$3,学校マスタ!$L68&lt;M$3+7)),"◆",IF(AND(学校マスタ!$O68&lt;&gt;"",学校マスタ!$P68&lt;&gt;"",学校マスタ!$O68&lt;M$3+7,学校マスタ!$P68&gt;=M$3),"█",IF(AND(学校マスタ!$R68&lt;&gt;"",学校マスタ!$U68&lt;&gt;"",学校マスタ!$R68&lt;M$3+7,学校マスタ!$U68&gt;=M$3),"▒","")))))</f>
        <v/>
      </c>
      <c r="N70" s="26">
        <f>IF(学校マスタ!$A68="","",IF(AND(学校マスタ!$U68&lt;&gt;"",学校マスタ!$U68&gt;=N$3,学校マスタ!$U68&lt;N$3+7),"◎",IF(OR(AND(学校マスタ!$H68&lt;&gt;"",学校マスタ!$H68&gt;=N$3,学校マスタ!$H68&lt;N$3+7),AND(学校マスタ!$J68&lt;&gt;"",学校マスタ!$J68&gt;=N$3,学校マスタ!$J68&lt;N$3+7),AND(学校マスタ!$L68&lt;&gt;"",学校マスタ!$L68&gt;=N$3,学校マスタ!$L68&lt;N$3+7)),"◆",IF(AND(学校マスタ!$O68&lt;&gt;"",学校マスタ!$P68&lt;&gt;"",学校マスタ!$O68&lt;N$3+7,学校マスタ!$P68&gt;=N$3),"█",IF(AND(学校マスタ!$R68&lt;&gt;"",学校マスタ!$U68&lt;&gt;"",学校マスタ!$R68&lt;N$3+7,学校マスタ!$U68&gt;=N$3),"▒","")))))</f>
        <v/>
      </c>
      <c r="O70" s="26">
        <f>IF(学校マスタ!$A68="","",IF(AND(学校マスタ!$U68&lt;&gt;"",学校マスタ!$U68&gt;=O$3,学校マスタ!$U68&lt;O$3+7),"◎",IF(OR(AND(学校マスタ!$H68&lt;&gt;"",学校マスタ!$H68&gt;=O$3,学校マスタ!$H68&lt;O$3+7),AND(学校マスタ!$J68&lt;&gt;"",学校マスタ!$J68&gt;=O$3,学校マスタ!$J68&lt;O$3+7),AND(学校マスタ!$L68&lt;&gt;"",学校マスタ!$L68&gt;=O$3,学校マスタ!$L68&lt;O$3+7)),"◆",IF(AND(学校マスタ!$O68&lt;&gt;"",学校マスタ!$P68&lt;&gt;"",学校マスタ!$O68&lt;O$3+7,学校マスタ!$P68&gt;=O$3),"█",IF(AND(学校マスタ!$R68&lt;&gt;"",学校マスタ!$U68&lt;&gt;"",学校マスタ!$R68&lt;O$3+7,学校マスタ!$U68&gt;=O$3),"▒","")))))</f>
        <v/>
      </c>
      <c r="P70" s="26">
        <f>IF(学校マスタ!$A68="","",IF(AND(学校マスタ!$U68&lt;&gt;"",学校マスタ!$U68&gt;=P$3,学校マスタ!$U68&lt;P$3+7),"◎",IF(OR(AND(学校マスタ!$H68&lt;&gt;"",学校マスタ!$H68&gt;=P$3,学校マスタ!$H68&lt;P$3+7),AND(学校マスタ!$J68&lt;&gt;"",学校マスタ!$J68&gt;=P$3,学校マスタ!$J68&lt;P$3+7),AND(学校マスタ!$L68&lt;&gt;"",学校マスタ!$L68&gt;=P$3,学校マスタ!$L68&lt;P$3+7)),"◆",IF(AND(学校マスタ!$O68&lt;&gt;"",学校マスタ!$P68&lt;&gt;"",学校マスタ!$O68&lt;P$3+7,学校マスタ!$P68&gt;=P$3),"█",IF(AND(学校マスタ!$R68&lt;&gt;"",学校マスタ!$U68&lt;&gt;"",学校マスタ!$R68&lt;P$3+7,学校マスタ!$U68&gt;=P$3),"▒","")))))</f>
        <v/>
      </c>
      <c r="Q70" s="26">
        <f>IF(学校マスタ!$A68="","",IF(AND(学校マスタ!$U68&lt;&gt;"",学校マスタ!$U68&gt;=Q$3,学校マスタ!$U68&lt;Q$3+7),"◎",IF(OR(AND(学校マスタ!$H68&lt;&gt;"",学校マスタ!$H68&gt;=Q$3,学校マスタ!$H68&lt;Q$3+7),AND(学校マスタ!$J68&lt;&gt;"",学校マスタ!$J68&gt;=Q$3,学校マスタ!$J68&lt;Q$3+7),AND(学校マスタ!$L68&lt;&gt;"",学校マスタ!$L68&gt;=Q$3,学校マスタ!$L68&lt;Q$3+7)),"◆",IF(AND(学校マスタ!$O68&lt;&gt;"",学校マスタ!$P68&lt;&gt;"",学校マスタ!$O68&lt;Q$3+7,学校マスタ!$P68&gt;=Q$3),"█",IF(AND(学校マスタ!$R68&lt;&gt;"",学校マスタ!$U68&lt;&gt;"",学校マスタ!$R68&lt;Q$3+7,学校マスタ!$U68&gt;=Q$3),"▒","")))))</f>
        <v/>
      </c>
      <c r="R70" s="26">
        <f>IF(学校マスタ!$A68="","",IF(AND(学校マスタ!$U68&lt;&gt;"",学校マスタ!$U68&gt;=R$3,学校マスタ!$U68&lt;R$3+7),"◎",IF(OR(AND(学校マスタ!$H68&lt;&gt;"",学校マスタ!$H68&gt;=R$3,学校マスタ!$H68&lt;R$3+7),AND(学校マスタ!$J68&lt;&gt;"",学校マスタ!$J68&gt;=R$3,学校マスタ!$J68&lt;R$3+7),AND(学校マスタ!$L68&lt;&gt;"",学校マスタ!$L68&gt;=R$3,学校マスタ!$L68&lt;R$3+7)),"◆",IF(AND(学校マスタ!$O68&lt;&gt;"",学校マスタ!$P68&lt;&gt;"",学校マスタ!$O68&lt;R$3+7,学校マスタ!$P68&gt;=R$3),"█",IF(AND(学校マスタ!$R68&lt;&gt;"",学校マスタ!$U68&lt;&gt;"",学校マスタ!$R68&lt;R$3+7,学校マスタ!$U68&gt;=R$3),"▒","")))))</f>
        <v/>
      </c>
      <c r="S70" s="26">
        <f>IF(学校マスタ!$A68="","",IF(AND(学校マスタ!$U68&lt;&gt;"",学校マスタ!$U68&gt;=S$3,学校マスタ!$U68&lt;S$3+7),"◎",IF(OR(AND(学校マスタ!$H68&lt;&gt;"",学校マスタ!$H68&gt;=S$3,学校マスタ!$H68&lt;S$3+7),AND(学校マスタ!$J68&lt;&gt;"",学校マスタ!$J68&gt;=S$3,学校マスタ!$J68&lt;S$3+7),AND(学校マスタ!$L68&lt;&gt;"",学校マスタ!$L68&gt;=S$3,学校マスタ!$L68&lt;S$3+7)),"◆",IF(AND(学校マスタ!$O68&lt;&gt;"",学校マスタ!$P68&lt;&gt;"",学校マスタ!$O68&lt;S$3+7,学校マスタ!$P68&gt;=S$3),"█",IF(AND(学校マスタ!$R68&lt;&gt;"",学校マスタ!$U68&lt;&gt;"",学校マスタ!$R68&lt;S$3+7,学校マスタ!$U68&gt;=S$3),"▒","")))))</f>
        <v/>
      </c>
      <c r="T70" s="26">
        <f>IF(学校マスタ!$A68="","",IF(AND(学校マスタ!$U68&lt;&gt;"",学校マスタ!$U68&gt;=T$3,学校マスタ!$U68&lt;T$3+7),"◎",IF(OR(AND(学校マスタ!$H68&lt;&gt;"",学校マスタ!$H68&gt;=T$3,学校マスタ!$H68&lt;T$3+7),AND(学校マスタ!$J68&lt;&gt;"",学校マスタ!$J68&gt;=T$3,学校マスタ!$J68&lt;T$3+7),AND(学校マスタ!$L68&lt;&gt;"",学校マスタ!$L68&gt;=T$3,学校マスタ!$L68&lt;T$3+7)),"◆",IF(AND(学校マスタ!$O68&lt;&gt;"",学校マスタ!$P68&lt;&gt;"",学校マスタ!$O68&lt;T$3+7,学校マスタ!$P68&gt;=T$3),"█",IF(AND(学校マスタ!$R68&lt;&gt;"",学校マスタ!$U68&lt;&gt;"",学校マスタ!$R68&lt;T$3+7,学校マスタ!$U68&gt;=T$3),"▒","")))))</f>
        <v/>
      </c>
      <c r="U70" s="26">
        <f>IF(学校マスタ!$A68="","",IF(AND(学校マスタ!$U68&lt;&gt;"",学校マスタ!$U68&gt;=U$3,学校マスタ!$U68&lt;U$3+7),"◎",IF(OR(AND(学校マスタ!$H68&lt;&gt;"",学校マスタ!$H68&gt;=U$3,学校マスタ!$H68&lt;U$3+7),AND(学校マスタ!$J68&lt;&gt;"",学校マスタ!$J68&gt;=U$3,学校マスタ!$J68&lt;U$3+7),AND(学校マスタ!$L68&lt;&gt;"",学校マスタ!$L68&gt;=U$3,学校マスタ!$L68&lt;U$3+7)),"◆",IF(AND(学校マスタ!$O68&lt;&gt;"",学校マスタ!$P68&lt;&gt;"",学校マスタ!$O68&lt;U$3+7,学校マスタ!$P68&gt;=U$3),"█",IF(AND(学校マスタ!$R68&lt;&gt;"",学校マスタ!$U68&lt;&gt;"",学校マスタ!$R68&lt;U$3+7,学校マスタ!$U68&gt;=U$3),"▒","")))))</f>
        <v/>
      </c>
      <c r="V70" s="26">
        <f>IF(学校マスタ!$A68="","",IF(AND(学校マスタ!$U68&lt;&gt;"",学校マスタ!$U68&gt;=V$3,学校マスタ!$U68&lt;V$3+7),"◎",IF(OR(AND(学校マスタ!$H68&lt;&gt;"",学校マスタ!$H68&gt;=V$3,学校マスタ!$H68&lt;V$3+7),AND(学校マスタ!$J68&lt;&gt;"",学校マスタ!$J68&gt;=V$3,学校マスタ!$J68&lt;V$3+7),AND(学校マスタ!$L68&lt;&gt;"",学校マスタ!$L68&gt;=V$3,学校マスタ!$L68&lt;V$3+7)),"◆",IF(AND(学校マスタ!$O68&lt;&gt;"",学校マスタ!$P68&lt;&gt;"",学校マスタ!$O68&lt;V$3+7,学校マスタ!$P68&gt;=V$3),"█",IF(AND(学校マスタ!$R68&lt;&gt;"",学校マスタ!$U68&lt;&gt;"",学校マスタ!$R68&lt;V$3+7,学校マスタ!$U68&gt;=V$3),"▒","")))))</f>
        <v/>
      </c>
      <c r="W70" s="26">
        <f>IF(学校マスタ!$A68="","",IF(AND(学校マスタ!$U68&lt;&gt;"",学校マスタ!$U68&gt;=W$3,学校マスタ!$U68&lt;W$3+7),"◎",IF(OR(AND(学校マスタ!$H68&lt;&gt;"",学校マスタ!$H68&gt;=W$3,学校マスタ!$H68&lt;W$3+7),AND(学校マスタ!$J68&lt;&gt;"",学校マスタ!$J68&gt;=W$3,学校マスタ!$J68&lt;W$3+7),AND(学校マスタ!$L68&lt;&gt;"",学校マスタ!$L68&gt;=W$3,学校マスタ!$L68&lt;W$3+7)),"◆",IF(AND(学校マスタ!$O68&lt;&gt;"",学校マスタ!$P68&lt;&gt;"",学校マスタ!$O68&lt;W$3+7,学校マスタ!$P68&gt;=W$3),"█",IF(AND(学校マスタ!$R68&lt;&gt;"",学校マスタ!$U68&lt;&gt;"",学校マスタ!$R68&lt;W$3+7,学校マスタ!$U68&gt;=W$3),"▒","")))))</f>
        <v/>
      </c>
      <c r="X70" s="26">
        <f>IF(学校マスタ!$A68="","",IF(AND(学校マスタ!$U68&lt;&gt;"",学校マスタ!$U68&gt;=X$3,学校マスタ!$U68&lt;X$3+7),"◎",IF(OR(AND(学校マスタ!$H68&lt;&gt;"",学校マスタ!$H68&gt;=X$3,学校マスタ!$H68&lt;X$3+7),AND(学校マスタ!$J68&lt;&gt;"",学校マスタ!$J68&gt;=X$3,学校マスタ!$J68&lt;X$3+7),AND(学校マスタ!$L68&lt;&gt;"",学校マスタ!$L68&gt;=X$3,学校マスタ!$L68&lt;X$3+7)),"◆",IF(AND(学校マスタ!$O68&lt;&gt;"",学校マスタ!$P68&lt;&gt;"",学校マスタ!$O68&lt;X$3+7,学校マスタ!$P68&gt;=X$3),"█",IF(AND(学校マスタ!$R68&lt;&gt;"",学校マスタ!$U68&lt;&gt;"",学校マスタ!$R68&lt;X$3+7,学校マスタ!$U68&gt;=X$3),"▒","")))))</f>
        <v/>
      </c>
      <c r="Y70" s="26">
        <f>IF(学校マスタ!$A68="","",IF(AND(学校マスタ!$U68&lt;&gt;"",学校マスタ!$U68&gt;=Y$3,学校マスタ!$U68&lt;Y$3+7),"◎",IF(OR(AND(学校マスタ!$H68&lt;&gt;"",学校マスタ!$H68&gt;=Y$3,学校マスタ!$H68&lt;Y$3+7),AND(学校マスタ!$J68&lt;&gt;"",学校マスタ!$J68&gt;=Y$3,学校マスタ!$J68&lt;Y$3+7),AND(学校マスタ!$L68&lt;&gt;"",学校マスタ!$L68&gt;=Y$3,学校マスタ!$L68&lt;Y$3+7)),"◆",IF(AND(学校マスタ!$O68&lt;&gt;"",学校マスタ!$P68&lt;&gt;"",学校マスタ!$O68&lt;Y$3+7,学校マスタ!$P68&gt;=Y$3),"█",IF(AND(学校マスタ!$R68&lt;&gt;"",学校マスタ!$U68&lt;&gt;"",学校マスタ!$R68&lt;Y$3+7,学校マスタ!$U68&gt;=Y$3),"▒","")))))</f>
        <v/>
      </c>
      <c r="Z70" s="26">
        <f>IF(学校マスタ!$A68="","",IF(AND(学校マスタ!$U68&lt;&gt;"",学校マスタ!$U68&gt;=Z$3,学校マスタ!$U68&lt;Z$3+7),"◎",IF(OR(AND(学校マスタ!$H68&lt;&gt;"",学校マスタ!$H68&gt;=Z$3,学校マスタ!$H68&lt;Z$3+7),AND(学校マスタ!$J68&lt;&gt;"",学校マスタ!$J68&gt;=Z$3,学校マスタ!$J68&lt;Z$3+7),AND(学校マスタ!$L68&lt;&gt;"",学校マスタ!$L68&gt;=Z$3,学校マスタ!$L68&lt;Z$3+7)),"◆",IF(AND(学校マスタ!$O68&lt;&gt;"",学校マスタ!$P68&lt;&gt;"",学校マスタ!$O68&lt;Z$3+7,学校マスタ!$P68&gt;=Z$3),"█",IF(AND(学校マスタ!$R68&lt;&gt;"",学校マスタ!$U68&lt;&gt;"",学校マスタ!$R68&lt;Z$3+7,学校マスタ!$U68&gt;=Z$3),"▒","")))))</f>
        <v/>
      </c>
      <c r="AA70" s="26">
        <f>IF(学校マスタ!$A68="","",IF(AND(学校マスタ!$U68&lt;&gt;"",学校マスタ!$U68&gt;=AA$3,学校マスタ!$U68&lt;AA$3+7),"◎",IF(OR(AND(学校マスタ!$H68&lt;&gt;"",学校マスタ!$H68&gt;=AA$3,学校マスタ!$H68&lt;AA$3+7),AND(学校マスタ!$J68&lt;&gt;"",学校マスタ!$J68&gt;=AA$3,学校マスタ!$J68&lt;AA$3+7),AND(学校マスタ!$L68&lt;&gt;"",学校マスタ!$L68&gt;=AA$3,学校マスタ!$L68&lt;AA$3+7)),"◆",IF(AND(学校マスタ!$O68&lt;&gt;"",学校マスタ!$P68&lt;&gt;"",学校マスタ!$O68&lt;AA$3+7,学校マスタ!$P68&gt;=AA$3),"█",IF(AND(学校マスタ!$R68&lt;&gt;"",学校マスタ!$U68&lt;&gt;"",学校マスタ!$R68&lt;AA$3+7,学校マスタ!$U68&gt;=AA$3),"▒","")))))</f>
        <v/>
      </c>
      <c r="AB70" s="26">
        <f>IF(学校マスタ!$A68="","",IF(AND(学校マスタ!$U68&lt;&gt;"",学校マスタ!$U68&gt;=AB$3,学校マスタ!$U68&lt;AB$3+7),"◎",IF(OR(AND(学校マスタ!$H68&lt;&gt;"",学校マスタ!$H68&gt;=AB$3,学校マスタ!$H68&lt;AB$3+7),AND(学校マスタ!$J68&lt;&gt;"",学校マスタ!$J68&gt;=AB$3,学校マスタ!$J68&lt;AB$3+7),AND(学校マスタ!$L68&lt;&gt;"",学校マスタ!$L68&gt;=AB$3,学校マスタ!$L68&lt;AB$3+7)),"◆",IF(AND(学校マスタ!$O68&lt;&gt;"",学校マスタ!$P68&lt;&gt;"",学校マスタ!$O68&lt;AB$3+7,学校マスタ!$P68&gt;=AB$3),"█",IF(AND(学校マスタ!$R68&lt;&gt;"",学校マスタ!$U68&lt;&gt;"",学校マスタ!$R68&lt;AB$3+7,学校マスタ!$U68&gt;=AB$3),"▒","")))))</f>
        <v/>
      </c>
    </row>
    <row r="71">
      <c r="A71" s="19">
        <f>IF(学校マスタ!$A69="","",学校マスタ!$A69)</f>
        <v/>
      </c>
      <c r="B71" s="19">
        <f>IF(学校マスタ!$A69="","",学校マスタ!$C69)</f>
        <v/>
      </c>
      <c r="C71" s="19">
        <f>IF(学校マスタ!$A69="","",学校マスタ!$X69)</f>
        <v/>
      </c>
      <c r="D71" s="25">
        <f>IF(学校マスタ!$A69="","",学校マスタ!$R69)</f>
        <v/>
      </c>
      <c r="E71" s="26">
        <f>IF(学校マスタ!$A69="","",IF(AND(学校マスタ!$U69&lt;&gt;"",学校マスタ!$U69&gt;=E$3,学校マスタ!$U69&lt;E$3+7),"◎",IF(OR(AND(学校マスタ!$H69&lt;&gt;"",学校マスタ!$H69&gt;=E$3,学校マスタ!$H69&lt;E$3+7),AND(学校マスタ!$J69&lt;&gt;"",学校マスタ!$J69&gt;=E$3,学校マスタ!$J69&lt;E$3+7),AND(学校マスタ!$L69&lt;&gt;"",学校マスタ!$L69&gt;=E$3,学校マスタ!$L69&lt;E$3+7)),"◆",IF(AND(学校マスタ!$O69&lt;&gt;"",学校マスタ!$P69&lt;&gt;"",学校マスタ!$O69&lt;E$3+7,学校マスタ!$P69&gt;=E$3),"█",IF(AND(学校マスタ!$R69&lt;&gt;"",学校マスタ!$U69&lt;&gt;"",学校マスタ!$R69&lt;E$3+7,学校マスタ!$U69&gt;=E$3),"▒","")))))</f>
        <v/>
      </c>
      <c r="F71" s="26">
        <f>IF(学校マスタ!$A69="","",IF(AND(学校マスタ!$U69&lt;&gt;"",学校マスタ!$U69&gt;=F$3,学校マスタ!$U69&lt;F$3+7),"◎",IF(OR(AND(学校マスタ!$H69&lt;&gt;"",学校マスタ!$H69&gt;=F$3,学校マスタ!$H69&lt;F$3+7),AND(学校マスタ!$J69&lt;&gt;"",学校マスタ!$J69&gt;=F$3,学校マスタ!$J69&lt;F$3+7),AND(学校マスタ!$L69&lt;&gt;"",学校マスタ!$L69&gt;=F$3,学校マスタ!$L69&lt;F$3+7)),"◆",IF(AND(学校マスタ!$O69&lt;&gt;"",学校マスタ!$P69&lt;&gt;"",学校マスタ!$O69&lt;F$3+7,学校マスタ!$P69&gt;=F$3),"█",IF(AND(学校マスタ!$R69&lt;&gt;"",学校マスタ!$U69&lt;&gt;"",学校マスタ!$R69&lt;F$3+7,学校マスタ!$U69&gt;=F$3),"▒","")))))</f>
        <v/>
      </c>
      <c r="G71" s="26">
        <f>IF(学校マスタ!$A69="","",IF(AND(学校マスタ!$U69&lt;&gt;"",学校マスタ!$U69&gt;=G$3,学校マスタ!$U69&lt;G$3+7),"◎",IF(OR(AND(学校マスタ!$H69&lt;&gt;"",学校マスタ!$H69&gt;=G$3,学校マスタ!$H69&lt;G$3+7),AND(学校マスタ!$J69&lt;&gt;"",学校マスタ!$J69&gt;=G$3,学校マスタ!$J69&lt;G$3+7),AND(学校マスタ!$L69&lt;&gt;"",学校マスタ!$L69&gt;=G$3,学校マスタ!$L69&lt;G$3+7)),"◆",IF(AND(学校マスタ!$O69&lt;&gt;"",学校マスタ!$P69&lt;&gt;"",学校マスタ!$O69&lt;G$3+7,学校マスタ!$P69&gt;=G$3),"█",IF(AND(学校マスタ!$R69&lt;&gt;"",学校マスタ!$U69&lt;&gt;"",学校マスタ!$R69&lt;G$3+7,学校マスタ!$U69&gt;=G$3),"▒","")))))</f>
        <v/>
      </c>
      <c r="H71" s="26">
        <f>IF(学校マスタ!$A69="","",IF(AND(学校マスタ!$U69&lt;&gt;"",学校マスタ!$U69&gt;=H$3,学校マスタ!$U69&lt;H$3+7),"◎",IF(OR(AND(学校マスタ!$H69&lt;&gt;"",学校マスタ!$H69&gt;=H$3,学校マスタ!$H69&lt;H$3+7),AND(学校マスタ!$J69&lt;&gt;"",学校マスタ!$J69&gt;=H$3,学校マスタ!$J69&lt;H$3+7),AND(学校マスタ!$L69&lt;&gt;"",学校マスタ!$L69&gt;=H$3,学校マスタ!$L69&lt;H$3+7)),"◆",IF(AND(学校マスタ!$O69&lt;&gt;"",学校マスタ!$P69&lt;&gt;"",学校マスタ!$O69&lt;H$3+7,学校マスタ!$P69&gt;=H$3),"█",IF(AND(学校マスタ!$R69&lt;&gt;"",学校マスタ!$U69&lt;&gt;"",学校マスタ!$R69&lt;H$3+7,学校マスタ!$U69&gt;=H$3),"▒","")))))</f>
        <v/>
      </c>
      <c r="I71" s="26">
        <f>IF(学校マスタ!$A69="","",IF(AND(学校マスタ!$U69&lt;&gt;"",学校マスタ!$U69&gt;=I$3,学校マスタ!$U69&lt;I$3+7),"◎",IF(OR(AND(学校マスタ!$H69&lt;&gt;"",学校マスタ!$H69&gt;=I$3,学校マスタ!$H69&lt;I$3+7),AND(学校マスタ!$J69&lt;&gt;"",学校マスタ!$J69&gt;=I$3,学校マスタ!$J69&lt;I$3+7),AND(学校マスタ!$L69&lt;&gt;"",学校マスタ!$L69&gt;=I$3,学校マスタ!$L69&lt;I$3+7)),"◆",IF(AND(学校マスタ!$O69&lt;&gt;"",学校マスタ!$P69&lt;&gt;"",学校マスタ!$O69&lt;I$3+7,学校マスタ!$P69&gt;=I$3),"█",IF(AND(学校マスタ!$R69&lt;&gt;"",学校マスタ!$U69&lt;&gt;"",学校マスタ!$R69&lt;I$3+7,学校マスタ!$U69&gt;=I$3),"▒","")))))</f>
        <v/>
      </c>
      <c r="J71" s="26">
        <f>IF(学校マスタ!$A69="","",IF(AND(学校マスタ!$U69&lt;&gt;"",学校マスタ!$U69&gt;=J$3,学校マスタ!$U69&lt;J$3+7),"◎",IF(OR(AND(学校マスタ!$H69&lt;&gt;"",学校マスタ!$H69&gt;=J$3,学校マスタ!$H69&lt;J$3+7),AND(学校マスタ!$J69&lt;&gt;"",学校マスタ!$J69&gt;=J$3,学校マスタ!$J69&lt;J$3+7),AND(学校マスタ!$L69&lt;&gt;"",学校マスタ!$L69&gt;=J$3,学校マスタ!$L69&lt;J$3+7)),"◆",IF(AND(学校マスタ!$O69&lt;&gt;"",学校マスタ!$P69&lt;&gt;"",学校マスタ!$O69&lt;J$3+7,学校マスタ!$P69&gt;=J$3),"█",IF(AND(学校マスタ!$R69&lt;&gt;"",学校マスタ!$U69&lt;&gt;"",学校マスタ!$R69&lt;J$3+7,学校マスタ!$U69&gt;=J$3),"▒","")))))</f>
        <v/>
      </c>
      <c r="K71" s="26">
        <f>IF(学校マスタ!$A69="","",IF(AND(学校マスタ!$U69&lt;&gt;"",学校マスタ!$U69&gt;=K$3,学校マスタ!$U69&lt;K$3+7),"◎",IF(OR(AND(学校マスタ!$H69&lt;&gt;"",学校マスタ!$H69&gt;=K$3,学校マスタ!$H69&lt;K$3+7),AND(学校マスタ!$J69&lt;&gt;"",学校マスタ!$J69&gt;=K$3,学校マスタ!$J69&lt;K$3+7),AND(学校マスタ!$L69&lt;&gt;"",学校マスタ!$L69&gt;=K$3,学校マスタ!$L69&lt;K$3+7)),"◆",IF(AND(学校マスタ!$O69&lt;&gt;"",学校マスタ!$P69&lt;&gt;"",学校マスタ!$O69&lt;K$3+7,学校マスタ!$P69&gt;=K$3),"█",IF(AND(学校マスタ!$R69&lt;&gt;"",学校マスタ!$U69&lt;&gt;"",学校マスタ!$R69&lt;K$3+7,学校マスタ!$U69&gt;=K$3),"▒","")))))</f>
        <v/>
      </c>
      <c r="L71" s="26">
        <f>IF(学校マスタ!$A69="","",IF(AND(学校マスタ!$U69&lt;&gt;"",学校マスタ!$U69&gt;=L$3,学校マスタ!$U69&lt;L$3+7),"◎",IF(OR(AND(学校マスタ!$H69&lt;&gt;"",学校マスタ!$H69&gt;=L$3,学校マスタ!$H69&lt;L$3+7),AND(学校マスタ!$J69&lt;&gt;"",学校マスタ!$J69&gt;=L$3,学校マスタ!$J69&lt;L$3+7),AND(学校マスタ!$L69&lt;&gt;"",学校マスタ!$L69&gt;=L$3,学校マスタ!$L69&lt;L$3+7)),"◆",IF(AND(学校マスタ!$O69&lt;&gt;"",学校マスタ!$P69&lt;&gt;"",学校マスタ!$O69&lt;L$3+7,学校マスタ!$P69&gt;=L$3),"█",IF(AND(学校マスタ!$R69&lt;&gt;"",学校マスタ!$U69&lt;&gt;"",学校マスタ!$R69&lt;L$3+7,学校マスタ!$U69&gt;=L$3),"▒","")))))</f>
        <v/>
      </c>
      <c r="M71" s="26">
        <f>IF(学校マスタ!$A69="","",IF(AND(学校マスタ!$U69&lt;&gt;"",学校マスタ!$U69&gt;=M$3,学校マスタ!$U69&lt;M$3+7),"◎",IF(OR(AND(学校マスタ!$H69&lt;&gt;"",学校マスタ!$H69&gt;=M$3,学校マスタ!$H69&lt;M$3+7),AND(学校マスタ!$J69&lt;&gt;"",学校マスタ!$J69&gt;=M$3,学校マスタ!$J69&lt;M$3+7),AND(学校マスタ!$L69&lt;&gt;"",学校マスタ!$L69&gt;=M$3,学校マスタ!$L69&lt;M$3+7)),"◆",IF(AND(学校マスタ!$O69&lt;&gt;"",学校マスタ!$P69&lt;&gt;"",学校マスタ!$O69&lt;M$3+7,学校マスタ!$P69&gt;=M$3),"█",IF(AND(学校マスタ!$R69&lt;&gt;"",学校マスタ!$U69&lt;&gt;"",学校マスタ!$R69&lt;M$3+7,学校マスタ!$U69&gt;=M$3),"▒","")))))</f>
        <v/>
      </c>
      <c r="N71" s="26">
        <f>IF(学校マスタ!$A69="","",IF(AND(学校マスタ!$U69&lt;&gt;"",学校マスタ!$U69&gt;=N$3,学校マスタ!$U69&lt;N$3+7),"◎",IF(OR(AND(学校マスタ!$H69&lt;&gt;"",学校マスタ!$H69&gt;=N$3,学校マスタ!$H69&lt;N$3+7),AND(学校マスタ!$J69&lt;&gt;"",学校マスタ!$J69&gt;=N$3,学校マスタ!$J69&lt;N$3+7),AND(学校マスタ!$L69&lt;&gt;"",学校マスタ!$L69&gt;=N$3,学校マスタ!$L69&lt;N$3+7)),"◆",IF(AND(学校マスタ!$O69&lt;&gt;"",学校マスタ!$P69&lt;&gt;"",学校マスタ!$O69&lt;N$3+7,学校マスタ!$P69&gt;=N$3),"█",IF(AND(学校マスタ!$R69&lt;&gt;"",学校マスタ!$U69&lt;&gt;"",学校マスタ!$R69&lt;N$3+7,学校マスタ!$U69&gt;=N$3),"▒","")))))</f>
        <v/>
      </c>
      <c r="O71" s="26">
        <f>IF(学校マスタ!$A69="","",IF(AND(学校マスタ!$U69&lt;&gt;"",学校マスタ!$U69&gt;=O$3,学校マスタ!$U69&lt;O$3+7),"◎",IF(OR(AND(学校マスタ!$H69&lt;&gt;"",学校マスタ!$H69&gt;=O$3,学校マスタ!$H69&lt;O$3+7),AND(学校マスタ!$J69&lt;&gt;"",学校マスタ!$J69&gt;=O$3,学校マスタ!$J69&lt;O$3+7),AND(学校マスタ!$L69&lt;&gt;"",学校マスタ!$L69&gt;=O$3,学校マスタ!$L69&lt;O$3+7)),"◆",IF(AND(学校マスタ!$O69&lt;&gt;"",学校マスタ!$P69&lt;&gt;"",学校マスタ!$O69&lt;O$3+7,学校マスタ!$P69&gt;=O$3),"█",IF(AND(学校マスタ!$R69&lt;&gt;"",学校マスタ!$U69&lt;&gt;"",学校マスタ!$R69&lt;O$3+7,学校マスタ!$U69&gt;=O$3),"▒","")))))</f>
        <v/>
      </c>
      <c r="P71" s="26">
        <f>IF(学校マスタ!$A69="","",IF(AND(学校マスタ!$U69&lt;&gt;"",学校マスタ!$U69&gt;=P$3,学校マスタ!$U69&lt;P$3+7),"◎",IF(OR(AND(学校マスタ!$H69&lt;&gt;"",学校マスタ!$H69&gt;=P$3,学校マスタ!$H69&lt;P$3+7),AND(学校マスタ!$J69&lt;&gt;"",学校マスタ!$J69&gt;=P$3,学校マスタ!$J69&lt;P$3+7),AND(学校マスタ!$L69&lt;&gt;"",学校マスタ!$L69&gt;=P$3,学校マスタ!$L69&lt;P$3+7)),"◆",IF(AND(学校マスタ!$O69&lt;&gt;"",学校マスタ!$P69&lt;&gt;"",学校マスタ!$O69&lt;P$3+7,学校マスタ!$P69&gt;=P$3),"█",IF(AND(学校マスタ!$R69&lt;&gt;"",学校マスタ!$U69&lt;&gt;"",学校マスタ!$R69&lt;P$3+7,学校マスタ!$U69&gt;=P$3),"▒","")))))</f>
        <v/>
      </c>
      <c r="Q71" s="26">
        <f>IF(学校マスタ!$A69="","",IF(AND(学校マスタ!$U69&lt;&gt;"",学校マスタ!$U69&gt;=Q$3,学校マスタ!$U69&lt;Q$3+7),"◎",IF(OR(AND(学校マスタ!$H69&lt;&gt;"",学校マスタ!$H69&gt;=Q$3,学校マスタ!$H69&lt;Q$3+7),AND(学校マスタ!$J69&lt;&gt;"",学校マスタ!$J69&gt;=Q$3,学校マスタ!$J69&lt;Q$3+7),AND(学校マスタ!$L69&lt;&gt;"",学校マスタ!$L69&gt;=Q$3,学校マスタ!$L69&lt;Q$3+7)),"◆",IF(AND(学校マスタ!$O69&lt;&gt;"",学校マスタ!$P69&lt;&gt;"",学校マスタ!$O69&lt;Q$3+7,学校マスタ!$P69&gt;=Q$3),"█",IF(AND(学校マスタ!$R69&lt;&gt;"",学校マスタ!$U69&lt;&gt;"",学校マスタ!$R69&lt;Q$3+7,学校マスタ!$U69&gt;=Q$3),"▒","")))))</f>
        <v/>
      </c>
      <c r="R71" s="26">
        <f>IF(学校マスタ!$A69="","",IF(AND(学校マスタ!$U69&lt;&gt;"",学校マスタ!$U69&gt;=R$3,学校マスタ!$U69&lt;R$3+7),"◎",IF(OR(AND(学校マスタ!$H69&lt;&gt;"",学校マスタ!$H69&gt;=R$3,学校マスタ!$H69&lt;R$3+7),AND(学校マスタ!$J69&lt;&gt;"",学校マスタ!$J69&gt;=R$3,学校マスタ!$J69&lt;R$3+7),AND(学校マスタ!$L69&lt;&gt;"",学校マスタ!$L69&gt;=R$3,学校マスタ!$L69&lt;R$3+7)),"◆",IF(AND(学校マスタ!$O69&lt;&gt;"",学校マスタ!$P69&lt;&gt;"",学校マスタ!$O69&lt;R$3+7,学校マスタ!$P69&gt;=R$3),"█",IF(AND(学校マスタ!$R69&lt;&gt;"",学校マスタ!$U69&lt;&gt;"",学校マスタ!$R69&lt;R$3+7,学校マスタ!$U69&gt;=R$3),"▒","")))))</f>
        <v/>
      </c>
      <c r="S71" s="26">
        <f>IF(学校マスタ!$A69="","",IF(AND(学校マスタ!$U69&lt;&gt;"",学校マスタ!$U69&gt;=S$3,学校マスタ!$U69&lt;S$3+7),"◎",IF(OR(AND(学校マスタ!$H69&lt;&gt;"",学校マスタ!$H69&gt;=S$3,学校マスタ!$H69&lt;S$3+7),AND(学校マスタ!$J69&lt;&gt;"",学校マスタ!$J69&gt;=S$3,学校マスタ!$J69&lt;S$3+7),AND(学校マスタ!$L69&lt;&gt;"",学校マスタ!$L69&gt;=S$3,学校マスタ!$L69&lt;S$3+7)),"◆",IF(AND(学校マスタ!$O69&lt;&gt;"",学校マスタ!$P69&lt;&gt;"",学校マスタ!$O69&lt;S$3+7,学校マスタ!$P69&gt;=S$3),"█",IF(AND(学校マスタ!$R69&lt;&gt;"",学校マスタ!$U69&lt;&gt;"",学校マスタ!$R69&lt;S$3+7,学校マスタ!$U69&gt;=S$3),"▒","")))))</f>
        <v/>
      </c>
      <c r="T71" s="26">
        <f>IF(学校マスタ!$A69="","",IF(AND(学校マスタ!$U69&lt;&gt;"",学校マスタ!$U69&gt;=T$3,学校マスタ!$U69&lt;T$3+7),"◎",IF(OR(AND(学校マスタ!$H69&lt;&gt;"",学校マスタ!$H69&gt;=T$3,学校マスタ!$H69&lt;T$3+7),AND(学校マスタ!$J69&lt;&gt;"",学校マスタ!$J69&gt;=T$3,学校マスタ!$J69&lt;T$3+7),AND(学校マスタ!$L69&lt;&gt;"",学校マスタ!$L69&gt;=T$3,学校マスタ!$L69&lt;T$3+7)),"◆",IF(AND(学校マスタ!$O69&lt;&gt;"",学校マスタ!$P69&lt;&gt;"",学校マスタ!$O69&lt;T$3+7,学校マスタ!$P69&gt;=T$3),"█",IF(AND(学校マスタ!$R69&lt;&gt;"",学校マスタ!$U69&lt;&gt;"",学校マスタ!$R69&lt;T$3+7,学校マスタ!$U69&gt;=T$3),"▒","")))))</f>
        <v/>
      </c>
      <c r="U71" s="26">
        <f>IF(学校マスタ!$A69="","",IF(AND(学校マスタ!$U69&lt;&gt;"",学校マスタ!$U69&gt;=U$3,学校マスタ!$U69&lt;U$3+7),"◎",IF(OR(AND(学校マスタ!$H69&lt;&gt;"",学校マスタ!$H69&gt;=U$3,学校マスタ!$H69&lt;U$3+7),AND(学校マスタ!$J69&lt;&gt;"",学校マスタ!$J69&gt;=U$3,学校マスタ!$J69&lt;U$3+7),AND(学校マスタ!$L69&lt;&gt;"",学校マスタ!$L69&gt;=U$3,学校マスタ!$L69&lt;U$3+7)),"◆",IF(AND(学校マスタ!$O69&lt;&gt;"",学校マスタ!$P69&lt;&gt;"",学校マスタ!$O69&lt;U$3+7,学校マスタ!$P69&gt;=U$3),"█",IF(AND(学校マスタ!$R69&lt;&gt;"",学校マスタ!$U69&lt;&gt;"",学校マスタ!$R69&lt;U$3+7,学校マスタ!$U69&gt;=U$3),"▒","")))))</f>
        <v/>
      </c>
      <c r="V71" s="26">
        <f>IF(学校マスタ!$A69="","",IF(AND(学校マスタ!$U69&lt;&gt;"",学校マスタ!$U69&gt;=V$3,学校マスタ!$U69&lt;V$3+7),"◎",IF(OR(AND(学校マスタ!$H69&lt;&gt;"",学校マスタ!$H69&gt;=V$3,学校マスタ!$H69&lt;V$3+7),AND(学校マスタ!$J69&lt;&gt;"",学校マスタ!$J69&gt;=V$3,学校マスタ!$J69&lt;V$3+7),AND(学校マスタ!$L69&lt;&gt;"",学校マスタ!$L69&gt;=V$3,学校マスタ!$L69&lt;V$3+7)),"◆",IF(AND(学校マスタ!$O69&lt;&gt;"",学校マスタ!$P69&lt;&gt;"",学校マスタ!$O69&lt;V$3+7,学校マスタ!$P69&gt;=V$3),"█",IF(AND(学校マスタ!$R69&lt;&gt;"",学校マスタ!$U69&lt;&gt;"",学校マスタ!$R69&lt;V$3+7,学校マスタ!$U69&gt;=V$3),"▒","")))))</f>
        <v/>
      </c>
      <c r="W71" s="26">
        <f>IF(学校マスタ!$A69="","",IF(AND(学校マスタ!$U69&lt;&gt;"",学校マスタ!$U69&gt;=W$3,学校マスタ!$U69&lt;W$3+7),"◎",IF(OR(AND(学校マスタ!$H69&lt;&gt;"",学校マスタ!$H69&gt;=W$3,学校マスタ!$H69&lt;W$3+7),AND(学校マスタ!$J69&lt;&gt;"",学校マスタ!$J69&gt;=W$3,学校マスタ!$J69&lt;W$3+7),AND(学校マスタ!$L69&lt;&gt;"",学校マスタ!$L69&gt;=W$3,学校マスタ!$L69&lt;W$3+7)),"◆",IF(AND(学校マスタ!$O69&lt;&gt;"",学校マスタ!$P69&lt;&gt;"",学校マスタ!$O69&lt;W$3+7,学校マスタ!$P69&gt;=W$3),"█",IF(AND(学校マスタ!$R69&lt;&gt;"",学校マスタ!$U69&lt;&gt;"",学校マスタ!$R69&lt;W$3+7,学校マスタ!$U69&gt;=W$3),"▒","")))))</f>
        <v/>
      </c>
      <c r="X71" s="26">
        <f>IF(学校マスタ!$A69="","",IF(AND(学校マスタ!$U69&lt;&gt;"",学校マスタ!$U69&gt;=X$3,学校マスタ!$U69&lt;X$3+7),"◎",IF(OR(AND(学校マスタ!$H69&lt;&gt;"",学校マスタ!$H69&gt;=X$3,学校マスタ!$H69&lt;X$3+7),AND(学校マスタ!$J69&lt;&gt;"",学校マスタ!$J69&gt;=X$3,学校マスタ!$J69&lt;X$3+7),AND(学校マスタ!$L69&lt;&gt;"",学校マスタ!$L69&gt;=X$3,学校マスタ!$L69&lt;X$3+7)),"◆",IF(AND(学校マスタ!$O69&lt;&gt;"",学校マスタ!$P69&lt;&gt;"",学校マスタ!$O69&lt;X$3+7,学校マスタ!$P69&gt;=X$3),"█",IF(AND(学校マスタ!$R69&lt;&gt;"",学校マスタ!$U69&lt;&gt;"",学校マスタ!$R69&lt;X$3+7,学校マスタ!$U69&gt;=X$3),"▒","")))))</f>
        <v/>
      </c>
      <c r="Y71" s="26">
        <f>IF(学校マスタ!$A69="","",IF(AND(学校マスタ!$U69&lt;&gt;"",学校マスタ!$U69&gt;=Y$3,学校マスタ!$U69&lt;Y$3+7),"◎",IF(OR(AND(学校マスタ!$H69&lt;&gt;"",学校マスタ!$H69&gt;=Y$3,学校マスタ!$H69&lt;Y$3+7),AND(学校マスタ!$J69&lt;&gt;"",学校マスタ!$J69&gt;=Y$3,学校マスタ!$J69&lt;Y$3+7),AND(学校マスタ!$L69&lt;&gt;"",学校マスタ!$L69&gt;=Y$3,学校マスタ!$L69&lt;Y$3+7)),"◆",IF(AND(学校マスタ!$O69&lt;&gt;"",学校マスタ!$P69&lt;&gt;"",学校マスタ!$O69&lt;Y$3+7,学校マスタ!$P69&gt;=Y$3),"█",IF(AND(学校マスタ!$R69&lt;&gt;"",学校マスタ!$U69&lt;&gt;"",学校マスタ!$R69&lt;Y$3+7,学校マスタ!$U69&gt;=Y$3),"▒","")))))</f>
        <v/>
      </c>
      <c r="Z71" s="26">
        <f>IF(学校マスタ!$A69="","",IF(AND(学校マスタ!$U69&lt;&gt;"",学校マスタ!$U69&gt;=Z$3,学校マスタ!$U69&lt;Z$3+7),"◎",IF(OR(AND(学校マスタ!$H69&lt;&gt;"",学校マスタ!$H69&gt;=Z$3,学校マスタ!$H69&lt;Z$3+7),AND(学校マスタ!$J69&lt;&gt;"",学校マスタ!$J69&gt;=Z$3,学校マスタ!$J69&lt;Z$3+7),AND(学校マスタ!$L69&lt;&gt;"",学校マスタ!$L69&gt;=Z$3,学校マスタ!$L69&lt;Z$3+7)),"◆",IF(AND(学校マスタ!$O69&lt;&gt;"",学校マスタ!$P69&lt;&gt;"",学校マスタ!$O69&lt;Z$3+7,学校マスタ!$P69&gt;=Z$3),"█",IF(AND(学校マスタ!$R69&lt;&gt;"",学校マスタ!$U69&lt;&gt;"",学校マスタ!$R69&lt;Z$3+7,学校マスタ!$U69&gt;=Z$3),"▒","")))))</f>
        <v/>
      </c>
      <c r="AA71" s="26">
        <f>IF(学校マスタ!$A69="","",IF(AND(学校マスタ!$U69&lt;&gt;"",学校マスタ!$U69&gt;=AA$3,学校マスタ!$U69&lt;AA$3+7),"◎",IF(OR(AND(学校マスタ!$H69&lt;&gt;"",学校マスタ!$H69&gt;=AA$3,学校マスタ!$H69&lt;AA$3+7),AND(学校マスタ!$J69&lt;&gt;"",学校マスタ!$J69&gt;=AA$3,学校マスタ!$J69&lt;AA$3+7),AND(学校マスタ!$L69&lt;&gt;"",学校マスタ!$L69&gt;=AA$3,学校マスタ!$L69&lt;AA$3+7)),"◆",IF(AND(学校マスタ!$O69&lt;&gt;"",学校マスタ!$P69&lt;&gt;"",学校マスタ!$O69&lt;AA$3+7,学校マスタ!$P69&gt;=AA$3),"█",IF(AND(学校マスタ!$R69&lt;&gt;"",学校マスタ!$U69&lt;&gt;"",学校マスタ!$R69&lt;AA$3+7,学校マスタ!$U69&gt;=AA$3),"▒","")))))</f>
        <v/>
      </c>
      <c r="AB71" s="26">
        <f>IF(学校マスタ!$A69="","",IF(AND(学校マスタ!$U69&lt;&gt;"",学校マスタ!$U69&gt;=AB$3,学校マスタ!$U69&lt;AB$3+7),"◎",IF(OR(AND(学校マスタ!$H69&lt;&gt;"",学校マスタ!$H69&gt;=AB$3,学校マスタ!$H69&lt;AB$3+7),AND(学校マスタ!$J69&lt;&gt;"",学校マスタ!$J69&gt;=AB$3,学校マスタ!$J69&lt;AB$3+7),AND(学校マスタ!$L69&lt;&gt;"",学校マスタ!$L69&gt;=AB$3,学校マスタ!$L69&lt;AB$3+7)),"◆",IF(AND(学校マスタ!$O69&lt;&gt;"",学校マスタ!$P69&lt;&gt;"",学校マスタ!$O69&lt;AB$3+7,学校マスタ!$P69&gt;=AB$3),"█",IF(AND(学校マスタ!$R69&lt;&gt;"",学校マスタ!$U69&lt;&gt;"",学校マスタ!$R69&lt;AB$3+7,学校マスタ!$U69&gt;=AB$3),"▒","")))))</f>
        <v/>
      </c>
    </row>
    <row r="72">
      <c r="A72" s="19">
        <f>IF(学校マスタ!$A70="","",学校マスタ!$A70)</f>
        <v/>
      </c>
      <c r="B72" s="19">
        <f>IF(学校マスタ!$A70="","",学校マスタ!$C70)</f>
        <v/>
      </c>
      <c r="C72" s="19">
        <f>IF(学校マスタ!$A70="","",学校マスタ!$X70)</f>
        <v/>
      </c>
      <c r="D72" s="25">
        <f>IF(学校マスタ!$A70="","",学校マスタ!$R70)</f>
        <v/>
      </c>
      <c r="E72" s="26">
        <f>IF(学校マスタ!$A70="","",IF(AND(学校マスタ!$U70&lt;&gt;"",学校マスタ!$U70&gt;=E$3,学校マスタ!$U70&lt;E$3+7),"◎",IF(OR(AND(学校マスタ!$H70&lt;&gt;"",学校マスタ!$H70&gt;=E$3,学校マスタ!$H70&lt;E$3+7),AND(学校マスタ!$J70&lt;&gt;"",学校マスタ!$J70&gt;=E$3,学校マスタ!$J70&lt;E$3+7),AND(学校マスタ!$L70&lt;&gt;"",学校マスタ!$L70&gt;=E$3,学校マスタ!$L70&lt;E$3+7)),"◆",IF(AND(学校マスタ!$O70&lt;&gt;"",学校マスタ!$P70&lt;&gt;"",学校マスタ!$O70&lt;E$3+7,学校マスタ!$P70&gt;=E$3),"█",IF(AND(学校マスタ!$R70&lt;&gt;"",学校マスタ!$U70&lt;&gt;"",学校マスタ!$R70&lt;E$3+7,学校マスタ!$U70&gt;=E$3),"▒","")))))</f>
        <v/>
      </c>
      <c r="F72" s="26">
        <f>IF(学校マスタ!$A70="","",IF(AND(学校マスタ!$U70&lt;&gt;"",学校マスタ!$U70&gt;=F$3,学校マスタ!$U70&lt;F$3+7),"◎",IF(OR(AND(学校マスタ!$H70&lt;&gt;"",学校マスタ!$H70&gt;=F$3,学校マスタ!$H70&lt;F$3+7),AND(学校マスタ!$J70&lt;&gt;"",学校マスタ!$J70&gt;=F$3,学校マスタ!$J70&lt;F$3+7),AND(学校マスタ!$L70&lt;&gt;"",学校マスタ!$L70&gt;=F$3,学校マスタ!$L70&lt;F$3+7)),"◆",IF(AND(学校マスタ!$O70&lt;&gt;"",学校マスタ!$P70&lt;&gt;"",学校マスタ!$O70&lt;F$3+7,学校マスタ!$P70&gt;=F$3),"█",IF(AND(学校マスタ!$R70&lt;&gt;"",学校マスタ!$U70&lt;&gt;"",学校マスタ!$R70&lt;F$3+7,学校マスタ!$U70&gt;=F$3),"▒","")))))</f>
        <v/>
      </c>
      <c r="G72" s="26">
        <f>IF(学校マスタ!$A70="","",IF(AND(学校マスタ!$U70&lt;&gt;"",学校マスタ!$U70&gt;=G$3,学校マスタ!$U70&lt;G$3+7),"◎",IF(OR(AND(学校マスタ!$H70&lt;&gt;"",学校マスタ!$H70&gt;=G$3,学校マスタ!$H70&lt;G$3+7),AND(学校マスタ!$J70&lt;&gt;"",学校マスタ!$J70&gt;=G$3,学校マスタ!$J70&lt;G$3+7),AND(学校マスタ!$L70&lt;&gt;"",学校マスタ!$L70&gt;=G$3,学校マスタ!$L70&lt;G$3+7)),"◆",IF(AND(学校マスタ!$O70&lt;&gt;"",学校マスタ!$P70&lt;&gt;"",学校マスタ!$O70&lt;G$3+7,学校マスタ!$P70&gt;=G$3),"█",IF(AND(学校マスタ!$R70&lt;&gt;"",学校マスタ!$U70&lt;&gt;"",学校マスタ!$R70&lt;G$3+7,学校マスタ!$U70&gt;=G$3),"▒","")))))</f>
        <v/>
      </c>
      <c r="H72" s="26">
        <f>IF(学校マスタ!$A70="","",IF(AND(学校マスタ!$U70&lt;&gt;"",学校マスタ!$U70&gt;=H$3,学校マスタ!$U70&lt;H$3+7),"◎",IF(OR(AND(学校マスタ!$H70&lt;&gt;"",学校マスタ!$H70&gt;=H$3,学校マスタ!$H70&lt;H$3+7),AND(学校マスタ!$J70&lt;&gt;"",学校マスタ!$J70&gt;=H$3,学校マスタ!$J70&lt;H$3+7),AND(学校マスタ!$L70&lt;&gt;"",学校マスタ!$L70&gt;=H$3,学校マスタ!$L70&lt;H$3+7)),"◆",IF(AND(学校マスタ!$O70&lt;&gt;"",学校マスタ!$P70&lt;&gt;"",学校マスタ!$O70&lt;H$3+7,学校マスタ!$P70&gt;=H$3),"█",IF(AND(学校マスタ!$R70&lt;&gt;"",学校マスタ!$U70&lt;&gt;"",学校マスタ!$R70&lt;H$3+7,学校マスタ!$U70&gt;=H$3),"▒","")))))</f>
        <v/>
      </c>
      <c r="I72" s="26">
        <f>IF(学校マスタ!$A70="","",IF(AND(学校マスタ!$U70&lt;&gt;"",学校マスタ!$U70&gt;=I$3,学校マスタ!$U70&lt;I$3+7),"◎",IF(OR(AND(学校マスタ!$H70&lt;&gt;"",学校マスタ!$H70&gt;=I$3,学校マスタ!$H70&lt;I$3+7),AND(学校マスタ!$J70&lt;&gt;"",学校マスタ!$J70&gt;=I$3,学校マスタ!$J70&lt;I$3+7),AND(学校マスタ!$L70&lt;&gt;"",学校マスタ!$L70&gt;=I$3,学校マスタ!$L70&lt;I$3+7)),"◆",IF(AND(学校マスタ!$O70&lt;&gt;"",学校マスタ!$P70&lt;&gt;"",学校マスタ!$O70&lt;I$3+7,学校マスタ!$P70&gt;=I$3),"█",IF(AND(学校マスタ!$R70&lt;&gt;"",学校マスタ!$U70&lt;&gt;"",学校マスタ!$R70&lt;I$3+7,学校マスタ!$U70&gt;=I$3),"▒","")))))</f>
        <v/>
      </c>
      <c r="J72" s="26">
        <f>IF(学校マスタ!$A70="","",IF(AND(学校マスタ!$U70&lt;&gt;"",学校マスタ!$U70&gt;=J$3,学校マスタ!$U70&lt;J$3+7),"◎",IF(OR(AND(学校マスタ!$H70&lt;&gt;"",学校マスタ!$H70&gt;=J$3,学校マスタ!$H70&lt;J$3+7),AND(学校マスタ!$J70&lt;&gt;"",学校マスタ!$J70&gt;=J$3,学校マスタ!$J70&lt;J$3+7),AND(学校マスタ!$L70&lt;&gt;"",学校マスタ!$L70&gt;=J$3,学校マスタ!$L70&lt;J$3+7)),"◆",IF(AND(学校マスタ!$O70&lt;&gt;"",学校マスタ!$P70&lt;&gt;"",学校マスタ!$O70&lt;J$3+7,学校マスタ!$P70&gt;=J$3),"█",IF(AND(学校マスタ!$R70&lt;&gt;"",学校マスタ!$U70&lt;&gt;"",学校マスタ!$R70&lt;J$3+7,学校マスタ!$U70&gt;=J$3),"▒","")))))</f>
        <v/>
      </c>
      <c r="K72" s="26">
        <f>IF(学校マスタ!$A70="","",IF(AND(学校マスタ!$U70&lt;&gt;"",学校マスタ!$U70&gt;=K$3,学校マスタ!$U70&lt;K$3+7),"◎",IF(OR(AND(学校マスタ!$H70&lt;&gt;"",学校マスタ!$H70&gt;=K$3,学校マスタ!$H70&lt;K$3+7),AND(学校マスタ!$J70&lt;&gt;"",学校マスタ!$J70&gt;=K$3,学校マスタ!$J70&lt;K$3+7),AND(学校マスタ!$L70&lt;&gt;"",学校マスタ!$L70&gt;=K$3,学校マスタ!$L70&lt;K$3+7)),"◆",IF(AND(学校マスタ!$O70&lt;&gt;"",学校マスタ!$P70&lt;&gt;"",学校マスタ!$O70&lt;K$3+7,学校マスタ!$P70&gt;=K$3),"█",IF(AND(学校マスタ!$R70&lt;&gt;"",学校マスタ!$U70&lt;&gt;"",学校マスタ!$R70&lt;K$3+7,学校マスタ!$U70&gt;=K$3),"▒","")))))</f>
        <v/>
      </c>
      <c r="L72" s="26">
        <f>IF(学校マスタ!$A70="","",IF(AND(学校マスタ!$U70&lt;&gt;"",学校マスタ!$U70&gt;=L$3,学校マスタ!$U70&lt;L$3+7),"◎",IF(OR(AND(学校マスタ!$H70&lt;&gt;"",学校マスタ!$H70&gt;=L$3,学校マスタ!$H70&lt;L$3+7),AND(学校マスタ!$J70&lt;&gt;"",学校マスタ!$J70&gt;=L$3,学校マスタ!$J70&lt;L$3+7),AND(学校マスタ!$L70&lt;&gt;"",学校マスタ!$L70&gt;=L$3,学校マスタ!$L70&lt;L$3+7)),"◆",IF(AND(学校マスタ!$O70&lt;&gt;"",学校マスタ!$P70&lt;&gt;"",学校マスタ!$O70&lt;L$3+7,学校マスタ!$P70&gt;=L$3),"█",IF(AND(学校マスタ!$R70&lt;&gt;"",学校マスタ!$U70&lt;&gt;"",学校マスタ!$R70&lt;L$3+7,学校マスタ!$U70&gt;=L$3),"▒","")))))</f>
        <v/>
      </c>
      <c r="M72" s="26">
        <f>IF(学校マスタ!$A70="","",IF(AND(学校マスタ!$U70&lt;&gt;"",学校マスタ!$U70&gt;=M$3,学校マスタ!$U70&lt;M$3+7),"◎",IF(OR(AND(学校マスタ!$H70&lt;&gt;"",学校マスタ!$H70&gt;=M$3,学校マスタ!$H70&lt;M$3+7),AND(学校マスタ!$J70&lt;&gt;"",学校マスタ!$J70&gt;=M$3,学校マスタ!$J70&lt;M$3+7),AND(学校マスタ!$L70&lt;&gt;"",学校マスタ!$L70&gt;=M$3,学校マスタ!$L70&lt;M$3+7)),"◆",IF(AND(学校マスタ!$O70&lt;&gt;"",学校マスタ!$P70&lt;&gt;"",学校マスタ!$O70&lt;M$3+7,学校マスタ!$P70&gt;=M$3),"█",IF(AND(学校マスタ!$R70&lt;&gt;"",学校マスタ!$U70&lt;&gt;"",学校マスタ!$R70&lt;M$3+7,学校マスタ!$U70&gt;=M$3),"▒","")))))</f>
        <v/>
      </c>
      <c r="N72" s="26">
        <f>IF(学校マスタ!$A70="","",IF(AND(学校マスタ!$U70&lt;&gt;"",学校マスタ!$U70&gt;=N$3,学校マスタ!$U70&lt;N$3+7),"◎",IF(OR(AND(学校マスタ!$H70&lt;&gt;"",学校マスタ!$H70&gt;=N$3,学校マスタ!$H70&lt;N$3+7),AND(学校マスタ!$J70&lt;&gt;"",学校マスタ!$J70&gt;=N$3,学校マスタ!$J70&lt;N$3+7),AND(学校マスタ!$L70&lt;&gt;"",学校マスタ!$L70&gt;=N$3,学校マスタ!$L70&lt;N$3+7)),"◆",IF(AND(学校マスタ!$O70&lt;&gt;"",学校マスタ!$P70&lt;&gt;"",学校マスタ!$O70&lt;N$3+7,学校マスタ!$P70&gt;=N$3),"█",IF(AND(学校マスタ!$R70&lt;&gt;"",学校マスタ!$U70&lt;&gt;"",学校マスタ!$R70&lt;N$3+7,学校マスタ!$U70&gt;=N$3),"▒","")))))</f>
        <v/>
      </c>
      <c r="O72" s="26">
        <f>IF(学校マスタ!$A70="","",IF(AND(学校マスタ!$U70&lt;&gt;"",学校マスタ!$U70&gt;=O$3,学校マスタ!$U70&lt;O$3+7),"◎",IF(OR(AND(学校マスタ!$H70&lt;&gt;"",学校マスタ!$H70&gt;=O$3,学校マスタ!$H70&lt;O$3+7),AND(学校マスタ!$J70&lt;&gt;"",学校マスタ!$J70&gt;=O$3,学校マスタ!$J70&lt;O$3+7),AND(学校マスタ!$L70&lt;&gt;"",学校マスタ!$L70&gt;=O$3,学校マスタ!$L70&lt;O$3+7)),"◆",IF(AND(学校マスタ!$O70&lt;&gt;"",学校マスタ!$P70&lt;&gt;"",学校マスタ!$O70&lt;O$3+7,学校マスタ!$P70&gt;=O$3),"█",IF(AND(学校マスタ!$R70&lt;&gt;"",学校マスタ!$U70&lt;&gt;"",学校マスタ!$R70&lt;O$3+7,学校マスタ!$U70&gt;=O$3),"▒","")))))</f>
        <v/>
      </c>
      <c r="P72" s="26">
        <f>IF(学校マスタ!$A70="","",IF(AND(学校マスタ!$U70&lt;&gt;"",学校マスタ!$U70&gt;=P$3,学校マスタ!$U70&lt;P$3+7),"◎",IF(OR(AND(学校マスタ!$H70&lt;&gt;"",学校マスタ!$H70&gt;=P$3,学校マスタ!$H70&lt;P$3+7),AND(学校マスタ!$J70&lt;&gt;"",学校マスタ!$J70&gt;=P$3,学校マスタ!$J70&lt;P$3+7),AND(学校マスタ!$L70&lt;&gt;"",学校マスタ!$L70&gt;=P$3,学校マスタ!$L70&lt;P$3+7)),"◆",IF(AND(学校マスタ!$O70&lt;&gt;"",学校マスタ!$P70&lt;&gt;"",学校マスタ!$O70&lt;P$3+7,学校マスタ!$P70&gt;=P$3),"█",IF(AND(学校マスタ!$R70&lt;&gt;"",学校マスタ!$U70&lt;&gt;"",学校マスタ!$R70&lt;P$3+7,学校マスタ!$U70&gt;=P$3),"▒","")))))</f>
        <v/>
      </c>
      <c r="Q72" s="26">
        <f>IF(学校マスタ!$A70="","",IF(AND(学校マスタ!$U70&lt;&gt;"",学校マスタ!$U70&gt;=Q$3,学校マスタ!$U70&lt;Q$3+7),"◎",IF(OR(AND(学校マスタ!$H70&lt;&gt;"",学校マスタ!$H70&gt;=Q$3,学校マスタ!$H70&lt;Q$3+7),AND(学校マスタ!$J70&lt;&gt;"",学校マスタ!$J70&gt;=Q$3,学校マスタ!$J70&lt;Q$3+7),AND(学校マスタ!$L70&lt;&gt;"",学校マスタ!$L70&gt;=Q$3,学校マスタ!$L70&lt;Q$3+7)),"◆",IF(AND(学校マスタ!$O70&lt;&gt;"",学校マスタ!$P70&lt;&gt;"",学校マスタ!$O70&lt;Q$3+7,学校マスタ!$P70&gt;=Q$3),"█",IF(AND(学校マスタ!$R70&lt;&gt;"",学校マスタ!$U70&lt;&gt;"",学校マスタ!$R70&lt;Q$3+7,学校マスタ!$U70&gt;=Q$3),"▒","")))))</f>
        <v/>
      </c>
      <c r="R72" s="26">
        <f>IF(学校マスタ!$A70="","",IF(AND(学校マスタ!$U70&lt;&gt;"",学校マスタ!$U70&gt;=R$3,学校マスタ!$U70&lt;R$3+7),"◎",IF(OR(AND(学校マスタ!$H70&lt;&gt;"",学校マスタ!$H70&gt;=R$3,学校マスタ!$H70&lt;R$3+7),AND(学校マスタ!$J70&lt;&gt;"",学校マスタ!$J70&gt;=R$3,学校マスタ!$J70&lt;R$3+7),AND(学校マスタ!$L70&lt;&gt;"",学校マスタ!$L70&gt;=R$3,学校マスタ!$L70&lt;R$3+7)),"◆",IF(AND(学校マスタ!$O70&lt;&gt;"",学校マスタ!$P70&lt;&gt;"",学校マスタ!$O70&lt;R$3+7,学校マスタ!$P70&gt;=R$3),"█",IF(AND(学校マスタ!$R70&lt;&gt;"",学校マスタ!$U70&lt;&gt;"",学校マスタ!$R70&lt;R$3+7,学校マスタ!$U70&gt;=R$3),"▒","")))))</f>
        <v/>
      </c>
      <c r="S72" s="26">
        <f>IF(学校マスタ!$A70="","",IF(AND(学校マスタ!$U70&lt;&gt;"",学校マスタ!$U70&gt;=S$3,学校マスタ!$U70&lt;S$3+7),"◎",IF(OR(AND(学校マスタ!$H70&lt;&gt;"",学校マスタ!$H70&gt;=S$3,学校マスタ!$H70&lt;S$3+7),AND(学校マスタ!$J70&lt;&gt;"",学校マスタ!$J70&gt;=S$3,学校マスタ!$J70&lt;S$3+7),AND(学校マスタ!$L70&lt;&gt;"",学校マスタ!$L70&gt;=S$3,学校マスタ!$L70&lt;S$3+7)),"◆",IF(AND(学校マスタ!$O70&lt;&gt;"",学校マスタ!$P70&lt;&gt;"",学校マスタ!$O70&lt;S$3+7,学校マスタ!$P70&gt;=S$3),"█",IF(AND(学校マスタ!$R70&lt;&gt;"",学校マスタ!$U70&lt;&gt;"",学校マスタ!$R70&lt;S$3+7,学校マスタ!$U70&gt;=S$3),"▒","")))))</f>
        <v/>
      </c>
      <c r="T72" s="26">
        <f>IF(学校マスタ!$A70="","",IF(AND(学校マスタ!$U70&lt;&gt;"",学校マスタ!$U70&gt;=T$3,学校マスタ!$U70&lt;T$3+7),"◎",IF(OR(AND(学校マスタ!$H70&lt;&gt;"",学校マスタ!$H70&gt;=T$3,学校マスタ!$H70&lt;T$3+7),AND(学校マスタ!$J70&lt;&gt;"",学校マスタ!$J70&gt;=T$3,学校マスタ!$J70&lt;T$3+7),AND(学校マスタ!$L70&lt;&gt;"",学校マスタ!$L70&gt;=T$3,学校マスタ!$L70&lt;T$3+7)),"◆",IF(AND(学校マスタ!$O70&lt;&gt;"",学校マスタ!$P70&lt;&gt;"",学校マスタ!$O70&lt;T$3+7,学校マスタ!$P70&gt;=T$3),"█",IF(AND(学校マスタ!$R70&lt;&gt;"",学校マスタ!$U70&lt;&gt;"",学校マスタ!$R70&lt;T$3+7,学校マスタ!$U70&gt;=T$3),"▒","")))))</f>
        <v/>
      </c>
      <c r="U72" s="26">
        <f>IF(学校マスタ!$A70="","",IF(AND(学校マスタ!$U70&lt;&gt;"",学校マスタ!$U70&gt;=U$3,学校マスタ!$U70&lt;U$3+7),"◎",IF(OR(AND(学校マスタ!$H70&lt;&gt;"",学校マスタ!$H70&gt;=U$3,学校マスタ!$H70&lt;U$3+7),AND(学校マスタ!$J70&lt;&gt;"",学校マスタ!$J70&gt;=U$3,学校マスタ!$J70&lt;U$3+7),AND(学校マスタ!$L70&lt;&gt;"",学校マスタ!$L70&gt;=U$3,学校マスタ!$L70&lt;U$3+7)),"◆",IF(AND(学校マスタ!$O70&lt;&gt;"",学校マスタ!$P70&lt;&gt;"",学校マスタ!$O70&lt;U$3+7,学校マスタ!$P70&gt;=U$3),"█",IF(AND(学校マスタ!$R70&lt;&gt;"",学校マスタ!$U70&lt;&gt;"",学校マスタ!$R70&lt;U$3+7,学校マスタ!$U70&gt;=U$3),"▒","")))))</f>
        <v/>
      </c>
      <c r="V72" s="26">
        <f>IF(学校マスタ!$A70="","",IF(AND(学校マスタ!$U70&lt;&gt;"",学校マスタ!$U70&gt;=V$3,学校マスタ!$U70&lt;V$3+7),"◎",IF(OR(AND(学校マスタ!$H70&lt;&gt;"",学校マスタ!$H70&gt;=V$3,学校マスタ!$H70&lt;V$3+7),AND(学校マスタ!$J70&lt;&gt;"",学校マスタ!$J70&gt;=V$3,学校マスタ!$J70&lt;V$3+7),AND(学校マスタ!$L70&lt;&gt;"",学校マスタ!$L70&gt;=V$3,学校マスタ!$L70&lt;V$3+7)),"◆",IF(AND(学校マスタ!$O70&lt;&gt;"",学校マスタ!$P70&lt;&gt;"",学校マスタ!$O70&lt;V$3+7,学校マスタ!$P70&gt;=V$3),"█",IF(AND(学校マスタ!$R70&lt;&gt;"",学校マスタ!$U70&lt;&gt;"",学校マスタ!$R70&lt;V$3+7,学校マスタ!$U70&gt;=V$3),"▒","")))))</f>
        <v/>
      </c>
      <c r="W72" s="26">
        <f>IF(学校マスタ!$A70="","",IF(AND(学校マスタ!$U70&lt;&gt;"",学校マスタ!$U70&gt;=W$3,学校マスタ!$U70&lt;W$3+7),"◎",IF(OR(AND(学校マスタ!$H70&lt;&gt;"",学校マスタ!$H70&gt;=W$3,学校マスタ!$H70&lt;W$3+7),AND(学校マスタ!$J70&lt;&gt;"",学校マスタ!$J70&gt;=W$3,学校マスタ!$J70&lt;W$3+7),AND(学校マスタ!$L70&lt;&gt;"",学校マスタ!$L70&gt;=W$3,学校マスタ!$L70&lt;W$3+7)),"◆",IF(AND(学校マスタ!$O70&lt;&gt;"",学校マスタ!$P70&lt;&gt;"",学校マスタ!$O70&lt;W$3+7,学校マスタ!$P70&gt;=W$3),"█",IF(AND(学校マスタ!$R70&lt;&gt;"",学校マスタ!$U70&lt;&gt;"",学校マスタ!$R70&lt;W$3+7,学校マスタ!$U70&gt;=W$3),"▒","")))))</f>
        <v/>
      </c>
      <c r="X72" s="26">
        <f>IF(学校マスタ!$A70="","",IF(AND(学校マスタ!$U70&lt;&gt;"",学校マスタ!$U70&gt;=X$3,学校マスタ!$U70&lt;X$3+7),"◎",IF(OR(AND(学校マスタ!$H70&lt;&gt;"",学校マスタ!$H70&gt;=X$3,学校マスタ!$H70&lt;X$3+7),AND(学校マスタ!$J70&lt;&gt;"",学校マスタ!$J70&gt;=X$3,学校マスタ!$J70&lt;X$3+7),AND(学校マスタ!$L70&lt;&gt;"",学校マスタ!$L70&gt;=X$3,学校マスタ!$L70&lt;X$3+7)),"◆",IF(AND(学校マスタ!$O70&lt;&gt;"",学校マスタ!$P70&lt;&gt;"",学校マスタ!$O70&lt;X$3+7,学校マスタ!$P70&gt;=X$3),"█",IF(AND(学校マスタ!$R70&lt;&gt;"",学校マスタ!$U70&lt;&gt;"",学校マスタ!$R70&lt;X$3+7,学校マスタ!$U70&gt;=X$3),"▒","")))))</f>
        <v/>
      </c>
      <c r="Y72" s="26">
        <f>IF(学校マスタ!$A70="","",IF(AND(学校マスタ!$U70&lt;&gt;"",学校マスタ!$U70&gt;=Y$3,学校マスタ!$U70&lt;Y$3+7),"◎",IF(OR(AND(学校マスタ!$H70&lt;&gt;"",学校マスタ!$H70&gt;=Y$3,学校マスタ!$H70&lt;Y$3+7),AND(学校マスタ!$J70&lt;&gt;"",学校マスタ!$J70&gt;=Y$3,学校マスタ!$J70&lt;Y$3+7),AND(学校マスタ!$L70&lt;&gt;"",学校マスタ!$L70&gt;=Y$3,学校マスタ!$L70&lt;Y$3+7)),"◆",IF(AND(学校マスタ!$O70&lt;&gt;"",学校マスタ!$P70&lt;&gt;"",学校マスタ!$O70&lt;Y$3+7,学校マスタ!$P70&gt;=Y$3),"█",IF(AND(学校マスタ!$R70&lt;&gt;"",学校マスタ!$U70&lt;&gt;"",学校マスタ!$R70&lt;Y$3+7,学校マスタ!$U70&gt;=Y$3),"▒","")))))</f>
        <v/>
      </c>
      <c r="Z72" s="26">
        <f>IF(学校マスタ!$A70="","",IF(AND(学校マスタ!$U70&lt;&gt;"",学校マスタ!$U70&gt;=Z$3,学校マスタ!$U70&lt;Z$3+7),"◎",IF(OR(AND(学校マスタ!$H70&lt;&gt;"",学校マスタ!$H70&gt;=Z$3,学校マスタ!$H70&lt;Z$3+7),AND(学校マスタ!$J70&lt;&gt;"",学校マスタ!$J70&gt;=Z$3,学校マスタ!$J70&lt;Z$3+7),AND(学校マスタ!$L70&lt;&gt;"",学校マスタ!$L70&gt;=Z$3,学校マスタ!$L70&lt;Z$3+7)),"◆",IF(AND(学校マスタ!$O70&lt;&gt;"",学校マスタ!$P70&lt;&gt;"",学校マスタ!$O70&lt;Z$3+7,学校マスタ!$P70&gt;=Z$3),"█",IF(AND(学校マスタ!$R70&lt;&gt;"",学校マスタ!$U70&lt;&gt;"",学校マスタ!$R70&lt;Z$3+7,学校マスタ!$U70&gt;=Z$3),"▒","")))))</f>
        <v/>
      </c>
      <c r="AA72" s="26">
        <f>IF(学校マスタ!$A70="","",IF(AND(学校マスタ!$U70&lt;&gt;"",学校マスタ!$U70&gt;=AA$3,学校マスタ!$U70&lt;AA$3+7),"◎",IF(OR(AND(学校マスタ!$H70&lt;&gt;"",学校マスタ!$H70&gt;=AA$3,学校マスタ!$H70&lt;AA$3+7),AND(学校マスタ!$J70&lt;&gt;"",学校マスタ!$J70&gt;=AA$3,学校マスタ!$J70&lt;AA$3+7),AND(学校マスタ!$L70&lt;&gt;"",学校マスタ!$L70&gt;=AA$3,学校マスタ!$L70&lt;AA$3+7)),"◆",IF(AND(学校マスタ!$O70&lt;&gt;"",学校マスタ!$P70&lt;&gt;"",学校マスタ!$O70&lt;AA$3+7,学校マスタ!$P70&gt;=AA$3),"█",IF(AND(学校マスタ!$R70&lt;&gt;"",学校マスタ!$U70&lt;&gt;"",学校マスタ!$R70&lt;AA$3+7,学校マスタ!$U70&gt;=AA$3),"▒","")))))</f>
        <v/>
      </c>
      <c r="AB72" s="26">
        <f>IF(学校マスタ!$A70="","",IF(AND(学校マスタ!$U70&lt;&gt;"",学校マスタ!$U70&gt;=AB$3,学校マスタ!$U70&lt;AB$3+7),"◎",IF(OR(AND(学校マスタ!$H70&lt;&gt;"",学校マスタ!$H70&gt;=AB$3,学校マスタ!$H70&lt;AB$3+7),AND(学校マスタ!$J70&lt;&gt;"",学校マスタ!$J70&gt;=AB$3,学校マスタ!$J70&lt;AB$3+7),AND(学校マスタ!$L70&lt;&gt;"",学校マスタ!$L70&gt;=AB$3,学校マスタ!$L70&lt;AB$3+7)),"◆",IF(AND(学校マスタ!$O70&lt;&gt;"",学校マスタ!$P70&lt;&gt;"",学校マスタ!$O70&lt;AB$3+7,学校マスタ!$P70&gt;=AB$3),"█",IF(AND(学校マスタ!$R70&lt;&gt;"",学校マスタ!$U70&lt;&gt;"",学校マスタ!$R70&lt;AB$3+7,学校マスタ!$U70&gt;=AB$3),"▒","")))))</f>
        <v/>
      </c>
    </row>
    <row r="73">
      <c r="A73" s="19">
        <f>IF(学校マスタ!$A71="","",学校マスタ!$A71)</f>
        <v/>
      </c>
      <c r="B73" s="19">
        <f>IF(学校マスタ!$A71="","",学校マスタ!$C71)</f>
        <v/>
      </c>
      <c r="C73" s="19">
        <f>IF(学校マスタ!$A71="","",学校マスタ!$X71)</f>
        <v/>
      </c>
      <c r="D73" s="25">
        <f>IF(学校マスタ!$A71="","",学校マスタ!$R71)</f>
        <v/>
      </c>
      <c r="E73" s="26">
        <f>IF(学校マスタ!$A71="","",IF(AND(学校マスタ!$U71&lt;&gt;"",学校マスタ!$U71&gt;=E$3,学校マスタ!$U71&lt;E$3+7),"◎",IF(OR(AND(学校マスタ!$H71&lt;&gt;"",学校マスタ!$H71&gt;=E$3,学校マスタ!$H71&lt;E$3+7),AND(学校マスタ!$J71&lt;&gt;"",学校マスタ!$J71&gt;=E$3,学校マスタ!$J71&lt;E$3+7),AND(学校マスタ!$L71&lt;&gt;"",学校マスタ!$L71&gt;=E$3,学校マスタ!$L71&lt;E$3+7)),"◆",IF(AND(学校マスタ!$O71&lt;&gt;"",学校マスタ!$P71&lt;&gt;"",学校マスタ!$O71&lt;E$3+7,学校マスタ!$P71&gt;=E$3),"█",IF(AND(学校マスタ!$R71&lt;&gt;"",学校マスタ!$U71&lt;&gt;"",学校マスタ!$R71&lt;E$3+7,学校マスタ!$U71&gt;=E$3),"▒","")))))</f>
        <v/>
      </c>
      <c r="F73" s="26">
        <f>IF(学校マスタ!$A71="","",IF(AND(学校マスタ!$U71&lt;&gt;"",学校マスタ!$U71&gt;=F$3,学校マスタ!$U71&lt;F$3+7),"◎",IF(OR(AND(学校マスタ!$H71&lt;&gt;"",学校マスタ!$H71&gt;=F$3,学校マスタ!$H71&lt;F$3+7),AND(学校マスタ!$J71&lt;&gt;"",学校マスタ!$J71&gt;=F$3,学校マスタ!$J71&lt;F$3+7),AND(学校マスタ!$L71&lt;&gt;"",学校マスタ!$L71&gt;=F$3,学校マスタ!$L71&lt;F$3+7)),"◆",IF(AND(学校マスタ!$O71&lt;&gt;"",学校マスタ!$P71&lt;&gt;"",学校マスタ!$O71&lt;F$3+7,学校マスタ!$P71&gt;=F$3),"█",IF(AND(学校マスタ!$R71&lt;&gt;"",学校マスタ!$U71&lt;&gt;"",学校マスタ!$R71&lt;F$3+7,学校マスタ!$U71&gt;=F$3),"▒","")))))</f>
        <v/>
      </c>
      <c r="G73" s="26">
        <f>IF(学校マスタ!$A71="","",IF(AND(学校マスタ!$U71&lt;&gt;"",学校マスタ!$U71&gt;=G$3,学校マスタ!$U71&lt;G$3+7),"◎",IF(OR(AND(学校マスタ!$H71&lt;&gt;"",学校マスタ!$H71&gt;=G$3,学校マスタ!$H71&lt;G$3+7),AND(学校マスタ!$J71&lt;&gt;"",学校マスタ!$J71&gt;=G$3,学校マスタ!$J71&lt;G$3+7),AND(学校マスタ!$L71&lt;&gt;"",学校マスタ!$L71&gt;=G$3,学校マスタ!$L71&lt;G$3+7)),"◆",IF(AND(学校マスタ!$O71&lt;&gt;"",学校マスタ!$P71&lt;&gt;"",学校マスタ!$O71&lt;G$3+7,学校マスタ!$P71&gt;=G$3),"█",IF(AND(学校マスタ!$R71&lt;&gt;"",学校マスタ!$U71&lt;&gt;"",学校マスタ!$R71&lt;G$3+7,学校マスタ!$U71&gt;=G$3),"▒","")))))</f>
        <v/>
      </c>
      <c r="H73" s="26">
        <f>IF(学校マスタ!$A71="","",IF(AND(学校マスタ!$U71&lt;&gt;"",学校マスタ!$U71&gt;=H$3,学校マスタ!$U71&lt;H$3+7),"◎",IF(OR(AND(学校マスタ!$H71&lt;&gt;"",学校マスタ!$H71&gt;=H$3,学校マスタ!$H71&lt;H$3+7),AND(学校マスタ!$J71&lt;&gt;"",学校マスタ!$J71&gt;=H$3,学校マスタ!$J71&lt;H$3+7),AND(学校マスタ!$L71&lt;&gt;"",学校マスタ!$L71&gt;=H$3,学校マスタ!$L71&lt;H$3+7)),"◆",IF(AND(学校マスタ!$O71&lt;&gt;"",学校マスタ!$P71&lt;&gt;"",学校マスタ!$O71&lt;H$3+7,学校マスタ!$P71&gt;=H$3),"█",IF(AND(学校マスタ!$R71&lt;&gt;"",学校マスタ!$U71&lt;&gt;"",学校マスタ!$R71&lt;H$3+7,学校マスタ!$U71&gt;=H$3),"▒","")))))</f>
        <v/>
      </c>
      <c r="I73" s="26">
        <f>IF(学校マスタ!$A71="","",IF(AND(学校マスタ!$U71&lt;&gt;"",学校マスタ!$U71&gt;=I$3,学校マスタ!$U71&lt;I$3+7),"◎",IF(OR(AND(学校マスタ!$H71&lt;&gt;"",学校マスタ!$H71&gt;=I$3,学校マスタ!$H71&lt;I$3+7),AND(学校マスタ!$J71&lt;&gt;"",学校マスタ!$J71&gt;=I$3,学校マスタ!$J71&lt;I$3+7),AND(学校マスタ!$L71&lt;&gt;"",学校マスタ!$L71&gt;=I$3,学校マスタ!$L71&lt;I$3+7)),"◆",IF(AND(学校マスタ!$O71&lt;&gt;"",学校マスタ!$P71&lt;&gt;"",学校マスタ!$O71&lt;I$3+7,学校マスタ!$P71&gt;=I$3),"█",IF(AND(学校マスタ!$R71&lt;&gt;"",学校マスタ!$U71&lt;&gt;"",学校マスタ!$R71&lt;I$3+7,学校マスタ!$U71&gt;=I$3),"▒","")))))</f>
        <v/>
      </c>
      <c r="J73" s="26">
        <f>IF(学校マスタ!$A71="","",IF(AND(学校マスタ!$U71&lt;&gt;"",学校マスタ!$U71&gt;=J$3,学校マスタ!$U71&lt;J$3+7),"◎",IF(OR(AND(学校マスタ!$H71&lt;&gt;"",学校マスタ!$H71&gt;=J$3,学校マスタ!$H71&lt;J$3+7),AND(学校マスタ!$J71&lt;&gt;"",学校マスタ!$J71&gt;=J$3,学校マスタ!$J71&lt;J$3+7),AND(学校マスタ!$L71&lt;&gt;"",学校マスタ!$L71&gt;=J$3,学校マスタ!$L71&lt;J$3+7)),"◆",IF(AND(学校マスタ!$O71&lt;&gt;"",学校マスタ!$P71&lt;&gt;"",学校マスタ!$O71&lt;J$3+7,学校マスタ!$P71&gt;=J$3),"█",IF(AND(学校マスタ!$R71&lt;&gt;"",学校マスタ!$U71&lt;&gt;"",学校マスタ!$R71&lt;J$3+7,学校マスタ!$U71&gt;=J$3),"▒","")))))</f>
        <v/>
      </c>
      <c r="K73" s="26">
        <f>IF(学校マスタ!$A71="","",IF(AND(学校マスタ!$U71&lt;&gt;"",学校マスタ!$U71&gt;=K$3,学校マスタ!$U71&lt;K$3+7),"◎",IF(OR(AND(学校マスタ!$H71&lt;&gt;"",学校マスタ!$H71&gt;=K$3,学校マスタ!$H71&lt;K$3+7),AND(学校マスタ!$J71&lt;&gt;"",学校マスタ!$J71&gt;=K$3,学校マスタ!$J71&lt;K$3+7),AND(学校マスタ!$L71&lt;&gt;"",学校マスタ!$L71&gt;=K$3,学校マスタ!$L71&lt;K$3+7)),"◆",IF(AND(学校マスタ!$O71&lt;&gt;"",学校マスタ!$P71&lt;&gt;"",学校マスタ!$O71&lt;K$3+7,学校マスタ!$P71&gt;=K$3),"█",IF(AND(学校マスタ!$R71&lt;&gt;"",学校マスタ!$U71&lt;&gt;"",学校マスタ!$R71&lt;K$3+7,学校マスタ!$U71&gt;=K$3),"▒","")))))</f>
        <v/>
      </c>
      <c r="L73" s="26">
        <f>IF(学校マスタ!$A71="","",IF(AND(学校マスタ!$U71&lt;&gt;"",学校マスタ!$U71&gt;=L$3,学校マスタ!$U71&lt;L$3+7),"◎",IF(OR(AND(学校マスタ!$H71&lt;&gt;"",学校マスタ!$H71&gt;=L$3,学校マスタ!$H71&lt;L$3+7),AND(学校マスタ!$J71&lt;&gt;"",学校マスタ!$J71&gt;=L$3,学校マスタ!$J71&lt;L$3+7),AND(学校マスタ!$L71&lt;&gt;"",学校マスタ!$L71&gt;=L$3,学校マスタ!$L71&lt;L$3+7)),"◆",IF(AND(学校マスタ!$O71&lt;&gt;"",学校マスタ!$P71&lt;&gt;"",学校マスタ!$O71&lt;L$3+7,学校マスタ!$P71&gt;=L$3),"█",IF(AND(学校マスタ!$R71&lt;&gt;"",学校マスタ!$U71&lt;&gt;"",学校マスタ!$R71&lt;L$3+7,学校マスタ!$U71&gt;=L$3),"▒","")))))</f>
        <v/>
      </c>
      <c r="M73" s="26">
        <f>IF(学校マスタ!$A71="","",IF(AND(学校マスタ!$U71&lt;&gt;"",学校マスタ!$U71&gt;=M$3,学校マスタ!$U71&lt;M$3+7),"◎",IF(OR(AND(学校マスタ!$H71&lt;&gt;"",学校マスタ!$H71&gt;=M$3,学校マスタ!$H71&lt;M$3+7),AND(学校マスタ!$J71&lt;&gt;"",学校マスタ!$J71&gt;=M$3,学校マスタ!$J71&lt;M$3+7),AND(学校マスタ!$L71&lt;&gt;"",学校マスタ!$L71&gt;=M$3,学校マスタ!$L71&lt;M$3+7)),"◆",IF(AND(学校マスタ!$O71&lt;&gt;"",学校マスタ!$P71&lt;&gt;"",学校マスタ!$O71&lt;M$3+7,学校マスタ!$P71&gt;=M$3),"█",IF(AND(学校マスタ!$R71&lt;&gt;"",学校マスタ!$U71&lt;&gt;"",学校マスタ!$R71&lt;M$3+7,学校マスタ!$U71&gt;=M$3),"▒","")))))</f>
        <v/>
      </c>
      <c r="N73" s="26">
        <f>IF(学校マスタ!$A71="","",IF(AND(学校マスタ!$U71&lt;&gt;"",学校マスタ!$U71&gt;=N$3,学校マスタ!$U71&lt;N$3+7),"◎",IF(OR(AND(学校マスタ!$H71&lt;&gt;"",学校マスタ!$H71&gt;=N$3,学校マスタ!$H71&lt;N$3+7),AND(学校マスタ!$J71&lt;&gt;"",学校マスタ!$J71&gt;=N$3,学校マスタ!$J71&lt;N$3+7),AND(学校マスタ!$L71&lt;&gt;"",学校マスタ!$L71&gt;=N$3,学校マスタ!$L71&lt;N$3+7)),"◆",IF(AND(学校マスタ!$O71&lt;&gt;"",学校マスタ!$P71&lt;&gt;"",学校マスタ!$O71&lt;N$3+7,学校マスタ!$P71&gt;=N$3),"█",IF(AND(学校マスタ!$R71&lt;&gt;"",学校マスタ!$U71&lt;&gt;"",学校マスタ!$R71&lt;N$3+7,学校マスタ!$U71&gt;=N$3),"▒","")))))</f>
        <v/>
      </c>
      <c r="O73" s="26">
        <f>IF(学校マスタ!$A71="","",IF(AND(学校マスタ!$U71&lt;&gt;"",学校マスタ!$U71&gt;=O$3,学校マスタ!$U71&lt;O$3+7),"◎",IF(OR(AND(学校マスタ!$H71&lt;&gt;"",学校マスタ!$H71&gt;=O$3,学校マスタ!$H71&lt;O$3+7),AND(学校マスタ!$J71&lt;&gt;"",学校マスタ!$J71&gt;=O$3,学校マスタ!$J71&lt;O$3+7),AND(学校マスタ!$L71&lt;&gt;"",学校マスタ!$L71&gt;=O$3,学校マスタ!$L71&lt;O$3+7)),"◆",IF(AND(学校マスタ!$O71&lt;&gt;"",学校マスタ!$P71&lt;&gt;"",学校マスタ!$O71&lt;O$3+7,学校マスタ!$P71&gt;=O$3),"█",IF(AND(学校マスタ!$R71&lt;&gt;"",学校マスタ!$U71&lt;&gt;"",学校マスタ!$R71&lt;O$3+7,学校マスタ!$U71&gt;=O$3),"▒","")))))</f>
        <v/>
      </c>
      <c r="P73" s="26">
        <f>IF(学校マスタ!$A71="","",IF(AND(学校マスタ!$U71&lt;&gt;"",学校マスタ!$U71&gt;=P$3,学校マスタ!$U71&lt;P$3+7),"◎",IF(OR(AND(学校マスタ!$H71&lt;&gt;"",学校マスタ!$H71&gt;=P$3,学校マスタ!$H71&lt;P$3+7),AND(学校マスタ!$J71&lt;&gt;"",学校マスタ!$J71&gt;=P$3,学校マスタ!$J71&lt;P$3+7),AND(学校マスタ!$L71&lt;&gt;"",学校マスタ!$L71&gt;=P$3,学校マスタ!$L71&lt;P$3+7)),"◆",IF(AND(学校マスタ!$O71&lt;&gt;"",学校マスタ!$P71&lt;&gt;"",学校マスタ!$O71&lt;P$3+7,学校マスタ!$P71&gt;=P$3),"█",IF(AND(学校マスタ!$R71&lt;&gt;"",学校マスタ!$U71&lt;&gt;"",学校マスタ!$R71&lt;P$3+7,学校マスタ!$U71&gt;=P$3),"▒","")))))</f>
        <v/>
      </c>
      <c r="Q73" s="26">
        <f>IF(学校マスタ!$A71="","",IF(AND(学校マスタ!$U71&lt;&gt;"",学校マスタ!$U71&gt;=Q$3,学校マスタ!$U71&lt;Q$3+7),"◎",IF(OR(AND(学校マスタ!$H71&lt;&gt;"",学校マスタ!$H71&gt;=Q$3,学校マスタ!$H71&lt;Q$3+7),AND(学校マスタ!$J71&lt;&gt;"",学校マスタ!$J71&gt;=Q$3,学校マスタ!$J71&lt;Q$3+7),AND(学校マスタ!$L71&lt;&gt;"",学校マスタ!$L71&gt;=Q$3,学校マスタ!$L71&lt;Q$3+7)),"◆",IF(AND(学校マスタ!$O71&lt;&gt;"",学校マスタ!$P71&lt;&gt;"",学校マスタ!$O71&lt;Q$3+7,学校マスタ!$P71&gt;=Q$3),"█",IF(AND(学校マスタ!$R71&lt;&gt;"",学校マスタ!$U71&lt;&gt;"",学校マスタ!$R71&lt;Q$3+7,学校マスタ!$U71&gt;=Q$3),"▒","")))))</f>
        <v/>
      </c>
      <c r="R73" s="26">
        <f>IF(学校マスタ!$A71="","",IF(AND(学校マスタ!$U71&lt;&gt;"",学校マスタ!$U71&gt;=R$3,学校マスタ!$U71&lt;R$3+7),"◎",IF(OR(AND(学校マスタ!$H71&lt;&gt;"",学校マスタ!$H71&gt;=R$3,学校マスタ!$H71&lt;R$3+7),AND(学校マスタ!$J71&lt;&gt;"",学校マスタ!$J71&gt;=R$3,学校マスタ!$J71&lt;R$3+7),AND(学校マスタ!$L71&lt;&gt;"",学校マスタ!$L71&gt;=R$3,学校マスタ!$L71&lt;R$3+7)),"◆",IF(AND(学校マスタ!$O71&lt;&gt;"",学校マスタ!$P71&lt;&gt;"",学校マスタ!$O71&lt;R$3+7,学校マスタ!$P71&gt;=R$3),"█",IF(AND(学校マスタ!$R71&lt;&gt;"",学校マスタ!$U71&lt;&gt;"",学校マスタ!$R71&lt;R$3+7,学校マスタ!$U71&gt;=R$3),"▒","")))))</f>
        <v/>
      </c>
      <c r="S73" s="26">
        <f>IF(学校マスタ!$A71="","",IF(AND(学校マスタ!$U71&lt;&gt;"",学校マスタ!$U71&gt;=S$3,学校マスタ!$U71&lt;S$3+7),"◎",IF(OR(AND(学校マスタ!$H71&lt;&gt;"",学校マスタ!$H71&gt;=S$3,学校マスタ!$H71&lt;S$3+7),AND(学校マスタ!$J71&lt;&gt;"",学校マスタ!$J71&gt;=S$3,学校マスタ!$J71&lt;S$3+7),AND(学校マスタ!$L71&lt;&gt;"",学校マスタ!$L71&gt;=S$3,学校マスタ!$L71&lt;S$3+7)),"◆",IF(AND(学校マスタ!$O71&lt;&gt;"",学校マスタ!$P71&lt;&gt;"",学校マスタ!$O71&lt;S$3+7,学校マスタ!$P71&gt;=S$3),"█",IF(AND(学校マスタ!$R71&lt;&gt;"",学校マスタ!$U71&lt;&gt;"",学校マスタ!$R71&lt;S$3+7,学校マスタ!$U71&gt;=S$3),"▒","")))))</f>
        <v/>
      </c>
      <c r="T73" s="26">
        <f>IF(学校マスタ!$A71="","",IF(AND(学校マスタ!$U71&lt;&gt;"",学校マスタ!$U71&gt;=T$3,学校マスタ!$U71&lt;T$3+7),"◎",IF(OR(AND(学校マスタ!$H71&lt;&gt;"",学校マスタ!$H71&gt;=T$3,学校マスタ!$H71&lt;T$3+7),AND(学校マスタ!$J71&lt;&gt;"",学校マスタ!$J71&gt;=T$3,学校マスタ!$J71&lt;T$3+7),AND(学校マスタ!$L71&lt;&gt;"",学校マスタ!$L71&gt;=T$3,学校マスタ!$L71&lt;T$3+7)),"◆",IF(AND(学校マスタ!$O71&lt;&gt;"",学校マスタ!$P71&lt;&gt;"",学校マスタ!$O71&lt;T$3+7,学校マスタ!$P71&gt;=T$3),"█",IF(AND(学校マスタ!$R71&lt;&gt;"",学校マスタ!$U71&lt;&gt;"",学校マスタ!$R71&lt;T$3+7,学校マスタ!$U71&gt;=T$3),"▒","")))))</f>
        <v/>
      </c>
      <c r="U73" s="26">
        <f>IF(学校マスタ!$A71="","",IF(AND(学校マスタ!$U71&lt;&gt;"",学校マスタ!$U71&gt;=U$3,学校マスタ!$U71&lt;U$3+7),"◎",IF(OR(AND(学校マスタ!$H71&lt;&gt;"",学校マスタ!$H71&gt;=U$3,学校マスタ!$H71&lt;U$3+7),AND(学校マスタ!$J71&lt;&gt;"",学校マスタ!$J71&gt;=U$3,学校マスタ!$J71&lt;U$3+7),AND(学校マスタ!$L71&lt;&gt;"",学校マスタ!$L71&gt;=U$3,学校マスタ!$L71&lt;U$3+7)),"◆",IF(AND(学校マスタ!$O71&lt;&gt;"",学校マスタ!$P71&lt;&gt;"",学校マスタ!$O71&lt;U$3+7,学校マスタ!$P71&gt;=U$3),"█",IF(AND(学校マスタ!$R71&lt;&gt;"",学校マスタ!$U71&lt;&gt;"",学校マスタ!$R71&lt;U$3+7,学校マスタ!$U71&gt;=U$3),"▒","")))))</f>
        <v/>
      </c>
      <c r="V73" s="26">
        <f>IF(学校マスタ!$A71="","",IF(AND(学校マスタ!$U71&lt;&gt;"",学校マスタ!$U71&gt;=V$3,学校マスタ!$U71&lt;V$3+7),"◎",IF(OR(AND(学校マスタ!$H71&lt;&gt;"",学校マスタ!$H71&gt;=V$3,学校マスタ!$H71&lt;V$3+7),AND(学校マスタ!$J71&lt;&gt;"",学校マスタ!$J71&gt;=V$3,学校マスタ!$J71&lt;V$3+7),AND(学校マスタ!$L71&lt;&gt;"",学校マスタ!$L71&gt;=V$3,学校マスタ!$L71&lt;V$3+7)),"◆",IF(AND(学校マスタ!$O71&lt;&gt;"",学校マスタ!$P71&lt;&gt;"",学校マスタ!$O71&lt;V$3+7,学校マスタ!$P71&gt;=V$3),"█",IF(AND(学校マスタ!$R71&lt;&gt;"",学校マスタ!$U71&lt;&gt;"",学校マスタ!$R71&lt;V$3+7,学校マスタ!$U71&gt;=V$3),"▒","")))))</f>
        <v/>
      </c>
      <c r="W73" s="26">
        <f>IF(学校マスタ!$A71="","",IF(AND(学校マスタ!$U71&lt;&gt;"",学校マスタ!$U71&gt;=W$3,学校マスタ!$U71&lt;W$3+7),"◎",IF(OR(AND(学校マスタ!$H71&lt;&gt;"",学校マスタ!$H71&gt;=W$3,学校マスタ!$H71&lt;W$3+7),AND(学校マスタ!$J71&lt;&gt;"",学校マスタ!$J71&gt;=W$3,学校マスタ!$J71&lt;W$3+7),AND(学校マスタ!$L71&lt;&gt;"",学校マスタ!$L71&gt;=W$3,学校マスタ!$L71&lt;W$3+7)),"◆",IF(AND(学校マスタ!$O71&lt;&gt;"",学校マスタ!$P71&lt;&gt;"",学校マスタ!$O71&lt;W$3+7,学校マスタ!$P71&gt;=W$3),"█",IF(AND(学校マスタ!$R71&lt;&gt;"",学校マスタ!$U71&lt;&gt;"",学校マスタ!$R71&lt;W$3+7,学校マスタ!$U71&gt;=W$3),"▒","")))))</f>
        <v/>
      </c>
      <c r="X73" s="26">
        <f>IF(学校マスタ!$A71="","",IF(AND(学校マスタ!$U71&lt;&gt;"",学校マスタ!$U71&gt;=X$3,学校マスタ!$U71&lt;X$3+7),"◎",IF(OR(AND(学校マスタ!$H71&lt;&gt;"",学校マスタ!$H71&gt;=X$3,学校マスタ!$H71&lt;X$3+7),AND(学校マスタ!$J71&lt;&gt;"",学校マスタ!$J71&gt;=X$3,学校マスタ!$J71&lt;X$3+7),AND(学校マスタ!$L71&lt;&gt;"",学校マスタ!$L71&gt;=X$3,学校マスタ!$L71&lt;X$3+7)),"◆",IF(AND(学校マスタ!$O71&lt;&gt;"",学校マスタ!$P71&lt;&gt;"",学校マスタ!$O71&lt;X$3+7,学校マスタ!$P71&gt;=X$3),"█",IF(AND(学校マスタ!$R71&lt;&gt;"",学校マスタ!$U71&lt;&gt;"",学校マスタ!$R71&lt;X$3+7,学校マスタ!$U71&gt;=X$3),"▒","")))))</f>
        <v/>
      </c>
      <c r="Y73" s="26">
        <f>IF(学校マスタ!$A71="","",IF(AND(学校マスタ!$U71&lt;&gt;"",学校マスタ!$U71&gt;=Y$3,学校マスタ!$U71&lt;Y$3+7),"◎",IF(OR(AND(学校マスタ!$H71&lt;&gt;"",学校マスタ!$H71&gt;=Y$3,学校マスタ!$H71&lt;Y$3+7),AND(学校マスタ!$J71&lt;&gt;"",学校マスタ!$J71&gt;=Y$3,学校マスタ!$J71&lt;Y$3+7),AND(学校マスタ!$L71&lt;&gt;"",学校マスタ!$L71&gt;=Y$3,学校マスタ!$L71&lt;Y$3+7)),"◆",IF(AND(学校マスタ!$O71&lt;&gt;"",学校マスタ!$P71&lt;&gt;"",学校マスタ!$O71&lt;Y$3+7,学校マスタ!$P71&gt;=Y$3),"█",IF(AND(学校マスタ!$R71&lt;&gt;"",学校マスタ!$U71&lt;&gt;"",学校マスタ!$R71&lt;Y$3+7,学校マスタ!$U71&gt;=Y$3),"▒","")))))</f>
        <v/>
      </c>
      <c r="Z73" s="26">
        <f>IF(学校マスタ!$A71="","",IF(AND(学校マスタ!$U71&lt;&gt;"",学校マスタ!$U71&gt;=Z$3,学校マスタ!$U71&lt;Z$3+7),"◎",IF(OR(AND(学校マスタ!$H71&lt;&gt;"",学校マスタ!$H71&gt;=Z$3,学校マスタ!$H71&lt;Z$3+7),AND(学校マスタ!$J71&lt;&gt;"",学校マスタ!$J71&gt;=Z$3,学校マスタ!$J71&lt;Z$3+7),AND(学校マスタ!$L71&lt;&gt;"",学校マスタ!$L71&gt;=Z$3,学校マスタ!$L71&lt;Z$3+7)),"◆",IF(AND(学校マスタ!$O71&lt;&gt;"",学校マスタ!$P71&lt;&gt;"",学校マスタ!$O71&lt;Z$3+7,学校マスタ!$P71&gt;=Z$3),"█",IF(AND(学校マスタ!$R71&lt;&gt;"",学校マスタ!$U71&lt;&gt;"",学校マスタ!$R71&lt;Z$3+7,学校マスタ!$U71&gt;=Z$3),"▒","")))))</f>
        <v/>
      </c>
      <c r="AA73" s="26">
        <f>IF(学校マスタ!$A71="","",IF(AND(学校マスタ!$U71&lt;&gt;"",学校マスタ!$U71&gt;=AA$3,学校マスタ!$U71&lt;AA$3+7),"◎",IF(OR(AND(学校マスタ!$H71&lt;&gt;"",学校マスタ!$H71&gt;=AA$3,学校マスタ!$H71&lt;AA$3+7),AND(学校マスタ!$J71&lt;&gt;"",学校マスタ!$J71&gt;=AA$3,学校マスタ!$J71&lt;AA$3+7),AND(学校マスタ!$L71&lt;&gt;"",学校マスタ!$L71&gt;=AA$3,学校マスタ!$L71&lt;AA$3+7)),"◆",IF(AND(学校マスタ!$O71&lt;&gt;"",学校マスタ!$P71&lt;&gt;"",学校マスタ!$O71&lt;AA$3+7,学校マスタ!$P71&gt;=AA$3),"█",IF(AND(学校マスタ!$R71&lt;&gt;"",学校マスタ!$U71&lt;&gt;"",学校マスタ!$R71&lt;AA$3+7,学校マスタ!$U71&gt;=AA$3),"▒","")))))</f>
        <v/>
      </c>
      <c r="AB73" s="26">
        <f>IF(学校マスタ!$A71="","",IF(AND(学校マスタ!$U71&lt;&gt;"",学校マスタ!$U71&gt;=AB$3,学校マスタ!$U71&lt;AB$3+7),"◎",IF(OR(AND(学校マスタ!$H71&lt;&gt;"",学校マスタ!$H71&gt;=AB$3,学校マスタ!$H71&lt;AB$3+7),AND(学校マスタ!$J71&lt;&gt;"",学校マスタ!$J71&gt;=AB$3,学校マスタ!$J71&lt;AB$3+7),AND(学校マスタ!$L71&lt;&gt;"",学校マスタ!$L71&gt;=AB$3,学校マスタ!$L71&lt;AB$3+7)),"◆",IF(AND(学校マスタ!$O71&lt;&gt;"",学校マスタ!$P71&lt;&gt;"",学校マスタ!$O71&lt;AB$3+7,学校マスタ!$P71&gt;=AB$3),"█",IF(AND(学校マスタ!$R71&lt;&gt;"",学校マスタ!$U71&lt;&gt;"",学校マスタ!$R71&lt;AB$3+7,学校マスタ!$U71&gt;=AB$3),"▒","")))))</f>
        <v/>
      </c>
    </row>
  </sheetData>
  <conditionalFormatting sqref="E4:AB73">
    <cfRule type="cellIs" priority="1" operator="equal" dxfId="9">
      <formula>"█"</formula>
    </cfRule>
    <cfRule type="cellIs" priority="2" operator="equal" dxfId="10">
      <formula>"▒"</formula>
    </cfRule>
    <cfRule type="cellIs" priority="3" operator="equal" dxfId="11">
      <formula>"◆"</formula>
    </cfRule>
    <cfRule type="cellIs" priority="4" operator="equal" dxfId="12">
      <formula>"◎"</formula>
    </cfRule>
    <cfRule type="expression" priority="6" dxfId="13">
      <formula>AND(E$3&lt;=TODAY(),TODAY()&lt;E$3+7,E4="")</formula>
    </cfRule>
  </conditionalFormatting>
  <conditionalFormatting sqref="E3:AB3">
    <cfRule type="expression" priority="5" dxfId="14">
      <formula>AND(E$3&lt;=TODAY(),TODAY()&lt;E$3+7)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21" t="inlineStr">
        <is>
          <t>全体サマリー</t>
        </is>
      </c>
    </row>
    <row r="2">
      <c r="A2" s="27" t="inlineStr">
        <is>
          <t>対象校</t>
        </is>
      </c>
      <c r="B2" s="28">
        <f>COUNTA(学校マスタ!$A$2:$A$71)</f>
        <v/>
      </c>
    </row>
    <row r="3">
      <c r="A3" s="27" t="inlineStr">
        <is>
          <t>遅延あり</t>
        </is>
      </c>
      <c r="B3" s="28">
        <f>COUNTIF(学校マスタ!$X$2:$X$71,"遅延")</f>
        <v/>
      </c>
    </row>
    <row r="4">
      <c r="A4" s="27" t="inlineStr">
        <is>
          <t>今週対応</t>
        </is>
      </c>
      <c r="B4" s="28">
        <f>COUNTIF(学校マスタ!$X$2:$X$71,"今週対応")</f>
        <v/>
      </c>
    </row>
    <row r="5">
      <c r="A5" s="27" t="inlineStr">
        <is>
          <t>価格 未入力の学校</t>
        </is>
      </c>
      <c r="B5" s="28">
        <f>COUNTIF(学校マスタ!$AA$2:$AA$71,"&gt;0")</f>
        <v/>
      </c>
    </row>
    <row r="6">
      <c r="A6" s="27" t="inlineStr">
        <is>
          <t>手数料バック なしの学校</t>
        </is>
      </c>
      <c r="B6" s="28">
        <f>COUNTIF(学校マスタ!$G$2:$G$71,"なし")</f>
        <v/>
      </c>
    </row>
    <row r="7">
      <c r="A7" s="27" t="inlineStr">
        <is>
          <t>手数料バック 見込 合計</t>
        </is>
      </c>
      <c r="B7" s="29">
        <f>SUM(価格!$N$2:$N$251)</f>
        <v/>
      </c>
    </row>
    <row r="9">
      <c r="A9" s="21" t="inlineStr">
        <is>
          <t>協力企業に戻す手数料（見込み・税別）</t>
        </is>
      </c>
    </row>
    <row r="10" ht="22" customHeight="1">
      <c r="A10" s="5" t="inlineStr">
        <is>
          <t>協力企業</t>
        </is>
      </c>
      <c r="B10" s="5" t="inlineStr">
        <is>
          <t>対象校</t>
        </is>
      </c>
      <c r="C10" s="5" t="inlineStr">
        <is>
          <t>PC</t>
        </is>
      </c>
      <c r="D10" s="5" t="inlineStr">
        <is>
          <t>オプション</t>
        </is>
      </c>
      <c r="E10" s="5" t="inlineStr">
        <is>
          <t>合計</t>
        </is>
      </c>
    </row>
    <row r="11">
      <c r="A11" s="19">
        <f>IF(設定!$C2="","",設定!$C2)</f>
        <v/>
      </c>
      <c r="B11" s="30">
        <f>IF($A11="","",COUNTIFS(学校マスタ!$F$2:$F$71,$A11,学校マスタ!$G$2:$G$71,"あり"))</f>
        <v/>
      </c>
      <c r="C11" s="31">
        <f>IF($A11="","",SUMIFS(価格!$N$2:$N$251,価格!$P$2:$P$251,$A11,価格!$B$2:$B$251,"PC"))</f>
        <v/>
      </c>
      <c r="D11" s="31">
        <f>IF($A11="","",SUMIFS(価格!$N$2:$N$251,価格!$P$2:$P$251,$A11,価格!$B$2:$B$251,"オプション"))</f>
        <v/>
      </c>
      <c r="E11" s="31">
        <f>IF($A11="","",SUM($C11:$D11))</f>
        <v/>
      </c>
    </row>
    <row r="12">
      <c r="A12" s="19">
        <f>IF(設定!$C3="","",設定!$C3)</f>
        <v/>
      </c>
      <c r="B12" s="30">
        <f>IF($A12="","",COUNTIFS(学校マスタ!$F$2:$F$71,$A12,学校マスタ!$G$2:$G$71,"あり"))</f>
        <v/>
      </c>
      <c r="C12" s="31">
        <f>IF($A12="","",SUMIFS(価格!$N$2:$N$251,価格!$P$2:$P$251,$A12,価格!$B$2:$B$251,"PC"))</f>
        <v/>
      </c>
      <c r="D12" s="31">
        <f>IF($A12="","",SUMIFS(価格!$N$2:$N$251,価格!$P$2:$P$251,$A12,価格!$B$2:$B$251,"オプション"))</f>
        <v/>
      </c>
      <c r="E12" s="31">
        <f>IF($A12="","",SUM($C12:$D12))</f>
        <v/>
      </c>
    </row>
    <row r="13">
      <c r="A13" s="19">
        <f>IF(設定!$C4="","",設定!$C4)</f>
        <v/>
      </c>
      <c r="B13" s="30">
        <f>IF($A13="","",COUNTIFS(学校マスタ!$F$2:$F$71,$A13,学校マスタ!$G$2:$G$71,"あり"))</f>
        <v/>
      </c>
      <c r="C13" s="31">
        <f>IF($A13="","",SUMIFS(価格!$N$2:$N$251,価格!$P$2:$P$251,$A13,価格!$B$2:$B$251,"PC"))</f>
        <v/>
      </c>
      <c r="D13" s="31">
        <f>IF($A13="","",SUMIFS(価格!$N$2:$N$251,価格!$P$2:$P$251,$A13,価格!$B$2:$B$251,"オプション"))</f>
        <v/>
      </c>
      <c r="E13" s="31">
        <f>IF($A13="","",SUM($C13:$D13))</f>
        <v/>
      </c>
    </row>
    <row r="14">
      <c r="A14" s="19">
        <f>IF(設定!$C5="","",設定!$C5)</f>
        <v/>
      </c>
      <c r="B14" s="30">
        <f>IF($A14="","",COUNTIFS(学校マスタ!$F$2:$F$71,$A14,学校マスタ!$G$2:$G$71,"あり"))</f>
        <v/>
      </c>
      <c r="C14" s="31">
        <f>IF($A14="","",SUMIFS(価格!$N$2:$N$251,価格!$P$2:$P$251,$A14,価格!$B$2:$B$251,"PC"))</f>
        <v/>
      </c>
      <c r="D14" s="31">
        <f>IF($A14="","",SUMIFS(価格!$N$2:$N$251,価格!$P$2:$P$251,$A14,価格!$B$2:$B$251,"オプション"))</f>
        <v/>
      </c>
      <c r="E14" s="31">
        <f>IF($A14="","",SUM($C14:$D14))</f>
        <v/>
      </c>
    </row>
    <row r="15">
      <c r="A15" s="19">
        <f>IF(設定!$C6="","",設定!$C6)</f>
        <v/>
      </c>
      <c r="B15" s="30">
        <f>IF($A15="","",COUNTIFS(学校マスタ!$F$2:$F$71,$A15,学校マスタ!$G$2:$G$71,"あり"))</f>
        <v/>
      </c>
      <c r="C15" s="31">
        <f>IF($A15="","",SUMIFS(価格!$N$2:$N$251,価格!$P$2:$P$251,$A15,価格!$B$2:$B$251,"PC"))</f>
        <v/>
      </c>
      <c r="D15" s="31">
        <f>IF($A15="","",SUMIFS(価格!$N$2:$N$251,価格!$P$2:$P$251,$A15,価格!$B$2:$B$251,"オプション"))</f>
        <v/>
      </c>
      <c r="E15" s="31">
        <f>IF($A15="","",SUM($C15:$D15))</f>
        <v/>
      </c>
    </row>
    <row r="16">
      <c r="A16" s="19">
        <f>IF(設定!$C7="","",設定!$C7)</f>
        <v/>
      </c>
      <c r="B16" s="30">
        <f>IF($A16="","",COUNTIFS(学校マスタ!$F$2:$F$71,$A16,学校マスタ!$G$2:$G$71,"あり"))</f>
        <v/>
      </c>
      <c r="C16" s="31">
        <f>IF($A16="","",SUMIFS(価格!$N$2:$N$251,価格!$P$2:$P$251,$A16,価格!$B$2:$B$251,"PC"))</f>
        <v/>
      </c>
      <c r="D16" s="31">
        <f>IF($A16="","",SUMIFS(価格!$N$2:$N$251,価格!$P$2:$P$251,$A16,価格!$B$2:$B$251,"オプション"))</f>
        <v/>
      </c>
      <c r="E16" s="31">
        <f>IF($A16="","",SUM($C16:$D16))</f>
        <v/>
      </c>
    </row>
    <row r="17">
      <c r="A17" s="19">
        <f>IF(設定!$C8="","",設定!$C8)</f>
        <v/>
      </c>
      <c r="B17" s="30">
        <f>IF($A17="","",COUNTIFS(学校マスタ!$F$2:$F$71,$A17,学校マスタ!$G$2:$G$71,"あり"))</f>
        <v/>
      </c>
      <c r="C17" s="31">
        <f>IF($A17="","",SUMIFS(価格!$N$2:$N$251,価格!$P$2:$P$251,$A17,価格!$B$2:$B$251,"PC"))</f>
        <v/>
      </c>
      <c r="D17" s="31">
        <f>IF($A17="","",SUMIFS(価格!$N$2:$N$251,価格!$P$2:$P$251,$A17,価格!$B$2:$B$251,"オプション"))</f>
        <v/>
      </c>
      <c r="E17" s="31">
        <f>IF($A17="","",SUM($C17:$D17))</f>
        <v/>
      </c>
    </row>
    <row r="18">
      <c r="A18" s="19">
        <f>IF(設定!$C9="","",設定!$C9)</f>
        <v/>
      </c>
      <c r="B18" s="30">
        <f>IF($A18="","",COUNTIFS(学校マスタ!$F$2:$F$71,$A18,学校マスタ!$G$2:$G$71,"あり"))</f>
        <v/>
      </c>
      <c r="C18" s="31">
        <f>IF($A18="","",SUMIFS(価格!$N$2:$N$251,価格!$P$2:$P$251,$A18,価格!$B$2:$B$251,"PC"))</f>
        <v/>
      </c>
      <c r="D18" s="31">
        <f>IF($A18="","",SUMIFS(価格!$N$2:$N$251,価格!$P$2:$P$251,$A18,価格!$B$2:$B$251,"オプション"))</f>
        <v/>
      </c>
      <c r="E18" s="31">
        <f>IF($A18="","",SUM($C18:$D18))</f>
        <v/>
      </c>
    </row>
    <row r="19">
      <c r="A19" s="19">
        <f>IF(設定!$C10="","",設定!$C10)</f>
        <v/>
      </c>
      <c r="B19" s="30">
        <f>IF($A19="","",COUNTIFS(学校マスタ!$F$2:$F$71,$A19,学校マスタ!$G$2:$G$71,"あり"))</f>
        <v/>
      </c>
      <c r="C19" s="31">
        <f>IF($A19="","",SUMIFS(価格!$N$2:$N$251,価格!$P$2:$P$251,$A19,価格!$B$2:$B$251,"PC"))</f>
        <v/>
      </c>
      <c r="D19" s="31">
        <f>IF($A19="","",SUMIFS(価格!$N$2:$N$251,価格!$P$2:$P$251,$A19,価格!$B$2:$B$251,"オプション"))</f>
        <v/>
      </c>
      <c r="E19" s="31">
        <f>IF($A19="","",SUM($C19:$D19))</f>
        <v/>
      </c>
    </row>
    <row r="20">
      <c r="A20" s="19">
        <f>IF(設定!$C11="","",設定!$C11)</f>
        <v/>
      </c>
      <c r="B20" s="30">
        <f>IF($A20="","",COUNTIFS(学校マスタ!$F$2:$F$71,$A20,学校マスタ!$G$2:$G$71,"あり"))</f>
        <v/>
      </c>
      <c r="C20" s="31">
        <f>IF($A20="","",SUMIFS(価格!$N$2:$N$251,価格!$P$2:$P$251,$A20,価格!$B$2:$B$251,"PC"))</f>
        <v/>
      </c>
      <c r="D20" s="31">
        <f>IF($A20="","",SUMIFS(価格!$N$2:$N$251,価格!$P$2:$P$251,$A20,価格!$B$2:$B$251,"オプション"))</f>
        <v/>
      </c>
      <c r="E20" s="31">
        <f>IF($A20="","",SUM($C20:$D20))</f>
        <v/>
      </c>
    </row>
    <row r="21">
      <c r="A21" s="32" t="inlineStr">
        <is>
          <t>合計</t>
        </is>
      </c>
      <c r="B21" s="33">
        <f>SUM(B11:B20)</f>
        <v/>
      </c>
      <c r="C21" s="34">
        <f>SUM(C11:C20)</f>
        <v/>
      </c>
      <c r="D21" s="34">
        <f>SUM(D11:D20)</f>
        <v/>
      </c>
      <c r="E21" s="34">
        <f>SUM(E11:E20)</f>
        <v/>
      </c>
    </row>
    <row r="23">
      <c r="A23" s="7" t="inlineStr">
        <is>
          <t>見込合計 ＝（今年 掲載（エンド税別）− 今年 卸（税別））× 見込 数量。手数料バックが「なし」の学校は 0 として扱われます。</t>
        </is>
      </c>
    </row>
    <row r="24">
      <c r="A24" s="7" t="inlineStr">
        <is>
          <t>協力企業は「設定」シートのC列から取っています。増やすときは設定シートに追記してください。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2026-08-31T05:34:36Z</dcterms:created>
  <dcterms:modified xsi:type="dcterms:W3CDTF">2026-08-31T05:34:37Z</dcterms:modified>
</cp:coreProperties>
</file>